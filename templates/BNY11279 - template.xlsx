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0355" yWindow="-11640" windowWidth="20730" windowHeight="11040" tabRatio="711" firstSheet="0" activeTab="0" autoFilterDateGrouping="1"/>
  </bookViews>
  <sheets>
    <sheet xmlns:r="http://schemas.openxmlformats.org/officeDocument/2006/relationships" name="Email" sheetId="1" state="visible" r:id="rId1"/>
  </sheets>
  <definedNames>
    <definedName name="DataAnálise">Email!$A$7</definedName>
    <definedName name="_xlnm.Print_Area" localSheetId="0">'Email'!$B$7:$F$44</definedName>
  </definedNames>
  <calcPr calcId="191029" fullCalcOnLoad="1"/>
</workbook>
</file>

<file path=xl/styles.xml><?xml version="1.0" encoding="utf-8"?>
<styleSheet xmlns="http://schemas.openxmlformats.org/spreadsheetml/2006/main">
  <numFmts count="9">
    <numFmt numFmtId="164" formatCode="#,##0.0000000"/>
    <numFmt numFmtId="165" formatCode="0.000%"/>
    <numFmt numFmtId="166" formatCode="[$-416]d\-mmm\-yy;@"/>
    <numFmt numFmtId="167" formatCode="[$-409]dd\-mmm\-yy;@"/>
    <numFmt numFmtId="168" formatCode="_(* #,##0.0000000_);_(* \(#,##0.0000000\);_(* &quot;-&quot;??_);_(@_)"/>
    <numFmt numFmtId="169" formatCode="#,##0.00000000"/>
    <numFmt numFmtId="170" formatCode="[$-409]mmm\-yy;@"/>
    <numFmt numFmtId="171" formatCode="_([$€]* #,##0.00_);_([$€]* \(#,##0.00\);_([$€]* &quot;-&quot;??_);_(@_)"/>
    <numFmt numFmtId="172" formatCode="_([$€-2]* #,##0.00_);_([$€-2]* \(#,##0.00\);_([$€-2]* &quot;-&quot;??_)"/>
  </numFmts>
  <fonts count="43">
    <font>
      <name val="Arial"/>
      <sz val="10"/>
    </font>
    <font>
      <name val="Calibri"/>
      <family val="2"/>
      <color indexed="17"/>
      <sz val="11"/>
    </font>
    <font>
      <name val="Calibri"/>
      <family val="2"/>
      <color indexed="60"/>
      <sz val="11"/>
    </font>
    <font>
      <name val="Calibri"/>
      <family val="2"/>
      <color indexed="62"/>
      <sz val="11"/>
    </font>
    <font>
      <name val="Calibri"/>
      <family val="2"/>
      <color indexed="52"/>
      <sz val="11"/>
    </font>
    <font>
      <name val="Calibri"/>
      <family val="2"/>
      <b val="1"/>
      <color indexed="9"/>
      <sz val="11"/>
    </font>
    <font>
      <name val="Calibri"/>
      <family val="2"/>
      <color indexed="10"/>
      <sz val="11"/>
    </font>
    <font>
      <name val="Arial"/>
      <family val="2"/>
      <sz val="10"/>
    </font>
    <font>
      <name val="Calibri"/>
      <family val="2"/>
      <color indexed="8"/>
      <sz val="11"/>
    </font>
    <font>
      <name val="Verdana"/>
      <family val="2"/>
      <b val="1"/>
      <color indexed="18"/>
      <sz val="10"/>
    </font>
    <font>
      <name val="Verdana"/>
      <family val="2"/>
      <sz val="10"/>
    </font>
    <font>
      <name val="Verdana"/>
      <family val="2"/>
      <color indexed="18"/>
      <sz val="10"/>
    </font>
    <font>
      <name val="Verdana"/>
      <family val="2"/>
      <b val="1"/>
      <i val="1"/>
      <color indexed="18"/>
      <sz val="10"/>
    </font>
    <font>
      <name val="Verdana"/>
      <family val="2"/>
      <b val="1"/>
      <color indexed="9"/>
      <sz val="10"/>
    </font>
    <font>
      <name val="Verdana"/>
      <family val="2"/>
      <color indexed="8"/>
      <sz val="10"/>
    </font>
    <font>
      <name val="Verdana"/>
      <family val="2"/>
      <i val="1"/>
      <sz val="9"/>
    </font>
    <font>
      <name val="Verdana"/>
      <family val="2"/>
      <b val="1"/>
      <sz val="10"/>
    </font>
    <font>
      <name val="Verdana"/>
      <family val="2"/>
      <sz val="8"/>
    </font>
    <font>
      <name val="Verdana"/>
      <family val="2"/>
      <i val="1"/>
      <sz val="8"/>
      <vertAlign val="superscript"/>
    </font>
    <font>
      <name val="Verdana"/>
      <family val="2"/>
      <i val="1"/>
      <sz val="8"/>
    </font>
    <font>
      <name val="Verdana"/>
      <family val="2"/>
      <color indexed="56"/>
      <sz val="6"/>
    </font>
    <font>
      <name val="Calibri"/>
      <family val="2"/>
      <color theme="1"/>
      <sz val="11"/>
      <scheme val="minor"/>
    </font>
    <font>
      <name val="Calibri"/>
      <family val="2"/>
      <color theme="0"/>
      <sz val="11"/>
      <scheme val="minor"/>
    </font>
    <font>
      <name val="Calibri"/>
      <family val="2"/>
      <color rgb="FF9C0006"/>
      <sz val="11"/>
      <scheme val="minor"/>
    </font>
    <font>
      <name val="Calibri"/>
      <family val="2"/>
      <b val="1"/>
      <color rgb="FFFA7D00"/>
      <sz val="11"/>
      <scheme val="minor"/>
    </font>
    <font>
      <name val="Calibri"/>
      <family val="2"/>
      <i val="1"/>
      <color rgb="FF7F7F7F"/>
      <sz val="11"/>
      <scheme val="min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b val="1"/>
      <color rgb="FF3F3F3F"/>
      <sz val="11"/>
      <scheme val="minor"/>
    </font>
    <font>
      <name val="Cambria"/>
      <family val="2"/>
      <b val="1"/>
      <color theme="3"/>
      <sz val="18"/>
      <scheme val="major"/>
    </font>
    <font>
      <name val="Verdana"/>
      <family val="2"/>
      <b val="1"/>
      <color rgb="FF1B51A3"/>
      <sz val="12"/>
    </font>
    <font>
      <name val="Verdana"/>
      <family val="2"/>
      <b val="1"/>
      <color rgb="FF03163E"/>
      <sz val="10"/>
    </font>
    <font>
      <name val="Verdana"/>
      <family val="2"/>
      <color theme="0"/>
      <sz val="10"/>
    </font>
    <font>
      <name val="Verdana"/>
      <family val="2"/>
      <i val="1"/>
      <color theme="1" tint="0.499984740745262"/>
      <sz val="7"/>
    </font>
    <font>
      <name val="Verdana"/>
      <family val="2"/>
      <color theme="1" tint="0.499984740745262"/>
      <sz val="7"/>
    </font>
    <font>
      <name val="Verdana"/>
      <family val="2"/>
      <color rgb="FF003366"/>
      <sz val="10"/>
    </font>
    <font>
      <name val="Verdana"/>
      <family val="2"/>
      <b val="1"/>
      <color rgb="FF003366"/>
      <sz val="10"/>
    </font>
    <font>
      <name val="Verdana"/>
      <family val="2"/>
      <color rgb="FF1B51A3"/>
      <sz val="9"/>
    </font>
    <font>
      <name val="Verdana"/>
      <family val="2"/>
      <color indexed="18"/>
      <sz val="9"/>
    </font>
    <font>
      <name val="Verdana"/>
      <family val="2"/>
      <b val="1"/>
      <i val="1"/>
      <color indexed="18"/>
      <sz val="9"/>
    </font>
    <font>
      <name val="Verdana"/>
      <family val="2"/>
      <sz val="9"/>
    </font>
    <font>
      <name val="Verdana"/>
      <family val="2"/>
      <b val="1"/>
      <color rgb="FF1B51A3"/>
      <sz val="9"/>
    </font>
  </fonts>
  <fills count="38">
    <fill>
      <patternFill/>
    </fill>
    <fill>
      <patternFill patternType="gray125"/>
    </fill>
    <fill>
      <patternFill patternType="solid">
        <fgColor indexed="42"/>
      </patternFill>
    </fill>
    <fill>
      <patternFill patternType="solid">
        <fgColor indexed="47"/>
      </patternFill>
    </fill>
    <fill>
      <patternFill patternType="solid">
        <fgColor indexed="55"/>
      </patternFill>
    </fill>
    <fill>
      <patternFill patternType="solid">
        <fgColor indexed="43"/>
      </patternFill>
    </fill>
    <fill>
      <patternFill patternType="solid">
        <fgColor indexed="26"/>
      </patternFill>
    </fill>
    <fill>
      <patternFill patternType="solid">
        <fgColor indexed="9"/>
        <bgColor indexed="64"/>
      </patternFill>
    </fill>
    <fill>
      <patternFill patternType="solid">
        <fgColor theme="4" tint="0.7999816888943144"/>
        <bgColor indexed="65"/>
      </patternFill>
    </fill>
    <fill>
      <patternFill patternType="solid">
        <fgColor theme="5" tint="0.7999816888943144"/>
        <bgColor indexed="65"/>
      </patternFill>
    </fill>
    <fill>
      <patternFill patternType="solid">
        <fgColor theme="6" tint="0.7999816888943144"/>
        <bgColor indexed="65"/>
      </patternFill>
    </fill>
    <fill>
      <patternFill patternType="solid">
        <fgColor theme="7" tint="0.7999816888943144"/>
        <bgColor indexed="65"/>
      </patternFill>
    </fill>
    <fill>
      <patternFill patternType="solid">
        <fgColor theme="8" tint="0.7999816888943144"/>
        <bgColor indexed="65"/>
      </patternFill>
    </fill>
    <fill>
      <patternFill patternType="solid">
        <fgColor theme="9" tint="0.7999816888943144"/>
        <bgColor indexed="65"/>
      </patternFill>
    </fill>
    <fill>
      <patternFill patternType="solid">
        <fgColor theme="4" tint="0.5999938962981048"/>
        <bgColor indexed="65"/>
      </patternFill>
    </fill>
    <fill>
      <patternFill patternType="solid">
        <fgColor theme="5" tint="0.5999938962981048"/>
        <bgColor indexed="65"/>
      </patternFill>
    </fill>
    <fill>
      <patternFill patternType="solid">
        <fgColor theme="6" tint="0.5999938962981048"/>
        <bgColor indexed="65"/>
      </patternFill>
    </fill>
    <fill>
      <patternFill patternType="solid">
        <fgColor theme="7" tint="0.5999938962981048"/>
        <bgColor indexed="65"/>
      </patternFill>
    </fill>
    <fill>
      <patternFill patternType="solid">
        <fgColor theme="8" tint="0.5999938962981048"/>
        <bgColor indexed="65"/>
      </patternFill>
    </fill>
    <fill>
      <patternFill patternType="solid">
        <fgColor theme="9" tint="0.5999938962981048"/>
        <bgColor indexed="65"/>
      </patternFill>
    </fill>
    <fill>
      <patternFill patternType="solid">
        <fgColor theme="4" tint="0.3999755851924192"/>
        <bgColor indexed="65"/>
      </patternFill>
    </fill>
    <fill>
      <patternFill patternType="solid">
        <fgColor theme="5" tint="0.3999755851924192"/>
        <bgColor indexed="65"/>
      </patternFill>
    </fill>
    <fill>
      <patternFill patternType="solid">
        <fgColor theme="6" tint="0.3999755851924192"/>
        <bgColor indexed="65"/>
      </patternFill>
    </fill>
    <fill>
      <patternFill patternType="solid">
        <fgColor theme="7" tint="0.3999755851924192"/>
        <bgColor indexed="65"/>
      </patternFill>
    </fill>
    <fill>
      <patternFill patternType="solid">
        <fgColor theme="8" tint="0.3999755851924192"/>
        <bgColor indexed="65"/>
      </patternFill>
    </fill>
    <fill>
      <patternFill patternType="solid">
        <fgColor theme="9" tint="0.3999755851924192"/>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FFFFCC"/>
      </patternFill>
    </fill>
    <fill>
      <patternFill patternType="solid">
        <fgColor theme="0"/>
        <bgColor indexed="64"/>
      </patternFill>
    </fill>
    <fill>
      <patternFill patternType="solid">
        <fgColor rgb="FF1B51A3"/>
        <bgColor indexed="64"/>
      </patternFill>
    </fill>
    <fill>
      <patternFill patternType="solid">
        <fgColor rgb="FF1B51A3"/>
        <bgColor indexed="12"/>
      </patternFill>
    </fill>
  </fills>
  <borders count="11">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rgb="FF7F7F7F"/>
      </left>
      <right style="thin">
        <color rgb="FF7F7F7F"/>
      </right>
      <top style="thin">
        <color rgb="FF7F7F7F"/>
      </top>
      <bottom style="thin">
        <color rgb="FF7F7F7F"/>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s>
  <cellStyleXfs count="51">
    <xf numFmtId="0" fontId="0" fillId="0" borderId="0"/>
    <xf numFmtId="0" fontId="21" fillId="8" borderId="0"/>
    <xf numFmtId="0" fontId="21" fillId="9" borderId="0"/>
    <xf numFmtId="0" fontId="21" fillId="10" borderId="0"/>
    <xf numFmtId="0" fontId="21" fillId="11" borderId="0"/>
    <xf numFmtId="0" fontId="21" fillId="12" borderId="0"/>
    <xf numFmtId="0" fontId="21" fillId="13" borderId="0"/>
    <xf numFmtId="0" fontId="21" fillId="14" borderId="0"/>
    <xf numFmtId="0" fontId="21" fillId="15" borderId="0"/>
    <xf numFmtId="0" fontId="21" fillId="16" borderId="0"/>
    <xf numFmtId="0" fontId="21" fillId="17" borderId="0"/>
    <xf numFmtId="0" fontId="21" fillId="18" borderId="0"/>
    <xf numFmtId="0" fontId="21" fillId="19" borderId="0"/>
    <xf numFmtId="0" fontId="22" fillId="20" borderId="0"/>
    <xf numFmtId="0" fontId="22" fillId="21" borderId="0"/>
    <xf numFmtId="0" fontId="22" fillId="22" borderId="0"/>
    <xf numFmtId="0" fontId="22" fillId="23" borderId="0"/>
    <xf numFmtId="0" fontId="22" fillId="24" borderId="0"/>
    <xf numFmtId="0" fontId="22" fillId="25" borderId="0"/>
    <xf numFmtId="0" fontId="22" fillId="26" borderId="0"/>
    <xf numFmtId="0" fontId="22" fillId="27" borderId="0"/>
    <xf numFmtId="0" fontId="22" fillId="28" borderId="0"/>
    <xf numFmtId="0" fontId="22" fillId="29" borderId="0"/>
    <xf numFmtId="0" fontId="22" fillId="30" borderId="0"/>
    <xf numFmtId="0" fontId="22" fillId="31" borderId="0"/>
    <xf numFmtId="0" fontId="23" fillId="32" borderId="0"/>
    <xf numFmtId="0" fontId="1" fillId="2" borderId="0"/>
    <xf numFmtId="0" fontId="24" fillId="33" borderId="5"/>
    <xf numFmtId="0" fontId="5" fillId="4" borderId="2"/>
    <xf numFmtId="0" fontId="4" fillId="0" borderId="3"/>
    <xf numFmtId="43" fontId="7" fillId="0" borderId="0"/>
    <xf numFmtId="43" fontId="7" fillId="0" borderId="0"/>
    <xf numFmtId="0" fontId="3" fillId="3" borderId="1"/>
    <xf numFmtId="171" fontId="7" fillId="0" borderId="0"/>
    <xf numFmtId="172" fontId="7" fillId="0" borderId="0"/>
    <xf numFmtId="0" fontId="25" fillId="0" borderId="0"/>
    <xf numFmtId="0" fontId="26" fillId="0" borderId="6"/>
    <xf numFmtId="0" fontId="27" fillId="0" borderId="7"/>
    <xf numFmtId="0" fontId="28" fillId="0" borderId="8"/>
    <xf numFmtId="0" fontId="28" fillId="0" borderId="0"/>
    <xf numFmtId="0" fontId="2" fillId="5" borderId="0"/>
    <xf numFmtId="0" fontId="21" fillId="0" borderId="0"/>
    <xf numFmtId="0" fontId="7" fillId="0" borderId="0"/>
    <xf numFmtId="0" fontId="7" fillId="6" borderId="4"/>
    <xf numFmtId="0" fontId="8" fillId="34" borderId="9"/>
    <xf numFmtId="0" fontId="21" fillId="34" borderId="9"/>
    <xf numFmtId="0" fontId="29" fillId="33" borderId="10"/>
    <xf numFmtId="9" fontId="7" fillId="0" borderId="0"/>
    <xf numFmtId="9" fontId="7" fillId="0" borderId="0"/>
    <xf numFmtId="0" fontId="6" fillId="0" borderId="0"/>
    <xf numFmtId="0" fontId="30" fillId="0" borderId="0"/>
  </cellStyleXfs>
  <cellXfs count="64">
    <xf numFmtId="0" fontId="0" fillId="0" borderId="0" pivotButton="0" quotePrefix="0" xfId="0"/>
    <xf numFmtId="15" fontId="9" fillId="7" borderId="0" applyAlignment="1" pivotButton="0" quotePrefix="1" xfId="0">
      <alignment horizontal="left"/>
    </xf>
    <xf numFmtId="0" fontId="10" fillId="7" borderId="0" pivotButton="0" quotePrefix="0" xfId="0"/>
    <xf numFmtId="0" fontId="10" fillId="0" borderId="0" pivotButton="0" quotePrefix="0" xfId="0"/>
    <xf numFmtId="0" fontId="11" fillId="7" borderId="0" pivotButton="0" quotePrefix="0" xfId="0"/>
    <xf numFmtId="0" fontId="9" fillId="7" borderId="0" pivotButton="0" quotePrefix="0" xfId="0"/>
    <xf numFmtId="0" fontId="12" fillId="7" borderId="0" applyAlignment="1" pivotButton="0" quotePrefix="0" xfId="0">
      <alignment horizontal="center"/>
    </xf>
    <xf numFmtId="0" fontId="13" fillId="36" borderId="0" applyAlignment="1" pivotButton="0" quotePrefix="0" xfId="0">
      <alignment horizontal="center" vertical="center"/>
    </xf>
    <xf numFmtId="0" fontId="13" fillId="37" borderId="0" applyAlignment="1" pivotButton="0" quotePrefix="0" xfId="0">
      <alignment horizontal="center" vertical="center" wrapText="1"/>
    </xf>
    <xf numFmtId="164" fontId="11" fillId="7" borderId="0" applyAlignment="1" pivotButton="0" quotePrefix="0" xfId="30">
      <alignment horizontal="center"/>
    </xf>
    <xf numFmtId="10" fontId="11" fillId="7" borderId="0" applyAlignment="1" pivotButton="0" quotePrefix="0" xfId="47">
      <alignment horizontal="center"/>
    </xf>
    <xf numFmtId="9" fontId="11" fillId="7" borderId="0" applyAlignment="1" pivotButton="0" quotePrefix="0" xfId="47">
      <alignment horizontal="center"/>
    </xf>
    <xf numFmtId="165" fontId="11" fillId="7" borderId="0" pivotButton="0" quotePrefix="0" xfId="47"/>
    <xf numFmtId="15" fontId="33" fillId="35" borderId="0" pivotButton="0" quotePrefix="0" xfId="0"/>
    <xf numFmtId="0" fontId="11" fillId="7" borderId="0" applyAlignment="1" pivotButton="0" quotePrefix="0" xfId="0">
      <alignment horizontal="left"/>
    </xf>
    <xf numFmtId="166" fontId="14" fillId="7" borderId="0" applyAlignment="1" pivotButton="0" quotePrefix="0" xfId="0">
      <alignment horizontal="left"/>
    </xf>
    <xf numFmtId="0" fontId="14" fillId="7" borderId="0" pivotButton="0" quotePrefix="0" xfId="0"/>
    <xf numFmtId="15" fontId="33" fillId="7" borderId="0" pivotButton="0" quotePrefix="0" xfId="0"/>
    <xf numFmtId="166" fontId="14" fillId="7" borderId="0" applyAlignment="1" pivotButton="0" quotePrefix="0" xfId="0">
      <alignment horizontal="left" vertical="center"/>
    </xf>
    <xf numFmtId="166" fontId="11" fillId="7" borderId="0" applyAlignment="1" pivotButton="0" quotePrefix="0" xfId="0">
      <alignment horizontal="left"/>
    </xf>
    <xf numFmtId="167" fontId="15" fillId="7" borderId="0" applyAlignment="1" pivotButton="0" quotePrefix="0" xfId="0">
      <alignment horizontal="left" vertical="center"/>
    </xf>
    <xf numFmtId="166" fontId="15" fillId="7" borderId="0" applyAlignment="1" pivotButton="0" quotePrefix="0" xfId="0">
      <alignment horizontal="left" vertical="center"/>
    </xf>
    <xf numFmtId="0" fontId="16" fillId="7" borderId="0" applyAlignment="1" pivotButton="0" quotePrefix="0" xfId="0">
      <alignment horizontal="left" vertical="center"/>
    </xf>
    <xf numFmtId="0" fontId="33" fillId="7" borderId="0" pivotButton="0" quotePrefix="0" xfId="0"/>
    <xf numFmtId="165" fontId="17" fillId="7" borderId="0" pivotButton="0" quotePrefix="0" xfId="47"/>
    <xf numFmtId="166" fontId="18" fillId="7" borderId="0" pivotButton="0" quotePrefix="0" xfId="0"/>
    <xf numFmtId="166" fontId="19" fillId="7" borderId="0" applyAlignment="1" pivotButton="0" quotePrefix="0" xfId="0">
      <alignment horizontal="left"/>
    </xf>
    <xf numFmtId="0" fontId="9" fillId="7" borderId="0" applyAlignment="1" pivotButton="0" quotePrefix="0" xfId="0">
      <alignment horizontal="center"/>
    </xf>
    <xf numFmtId="167" fontId="11" fillId="7" borderId="0" pivotButton="0" quotePrefix="0" xfId="0"/>
    <xf numFmtId="168" fontId="11" fillId="7" borderId="0" pivotButton="0" quotePrefix="0" xfId="30"/>
    <xf numFmtId="0" fontId="13" fillId="36" borderId="0" applyAlignment="1" pivotButton="0" quotePrefix="0" xfId="0">
      <alignment horizontal="center" vertical="center" wrapText="1"/>
    </xf>
    <xf numFmtId="0" fontId="13" fillId="36" borderId="0" applyAlignment="1" pivotButton="0" quotePrefix="0" xfId="0">
      <alignment vertical="center"/>
    </xf>
    <xf numFmtId="0" fontId="13" fillId="36" borderId="0" applyAlignment="1" pivotButton="0" quotePrefix="0" xfId="0">
      <alignment horizontal="centerContinuous" vertical="center"/>
    </xf>
    <xf numFmtId="0" fontId="34" fillId="35" borderId="0" applyAlignment="1" pivotButton="0" quotePrefix="0" xfId="0">
      <alignment horizontal="centerContinuous" vertical="center" wrapText="1"/>
    </xf>
    <xf numFmtId="3" fontId="32" fillId="35" borderId="0" applyAlignment="1" pivotButton="0" quotePrefix="0" xfId="47">
      <alignment horizontal="centerContinuous"/>
    </xf>
    <xf numFmtId="0" fontId="35" fillId="35" borderId="0" applyAlignment="1" pivotButton="0" quotePrefix="0" xfId="0">
      <alignment horizontal="centerContinuous" vertical="center" wrapText="1"/>
    </xf>
    <xf numFmtId="0" fontId="36" fillId="7" borderId="0" pivotButton="0" quotePrefix="0" xfId="0"/>
    <xf numFmtId="166" fontId="37" fillId="7" borderId="0" applyAlignment="1" pivotButton="0" quotePrefix="0" xfId="0">
      <alignment horizontal="center"/>
    </xf>
    <xf numFmtId="169" fontId="37" fillId="7" borderId="0" applyAlignment="1" pivotButton="0" quotePrefix="0" xfId="30">
      <alignment horizontal="center"/>
    </xf>
    <xf numFmtId="10" fontId="37" fillId="7" borderId="0" applyAlignment="1" pivotButton="0" quotePrefix="0" xfId="47">
      <alignment horizontal="center"/>
    </xf>
    <xf numFmtId="9" fontId="37" fillId="7" borderId="0" applyAlignment="1" pivotButton="0" quotePrefix="0" xfId="47">
      <alignment horizontal="center"/>
    </xf>
    <xf numFmtId="166" fontId="36" fillId="7" borderId="0" applyAlignment="1" pivotButton="0" quotePrefix="0" xfId="0">
      <alignment horizontal="center"/>
    </xf>
    <xf numFmtId="169" fontId="36" fillId="7" borderId="0" applyAlignment="1" pivotButton="0" quotePrefix="0" xfId="30">
      <alignment horizontal="center"/>
    </xf>
    <xf numFmtId="10" fontId="36" fillId="7" borderId="0" applyAlignment="1" pivotButton="0" quotePrefix="0" xfId="47">
      <alignment horizontal="center"/>
    </xf>
    <xf numFmtId="9" fontId="36" fillId="7" borderId="0" applyAlignment="1" pivotButton="0" quotePrefix="0" xfId="47">
      <alignment horizontal="center"/>
    </xf>
    <xf numFmtId="170" fontId="37" fillId="7" borderId="0" applyAlignment="1" pivotButton="0" quotePrefix="1" xfId="0">
      <alignment horizontal="centerContinuous"/>
    </xf>
    <xf numFmtId="165" fontId="37" fillId="7" borderId="0" applyAlignment="1" pivotButton="0" quotePrefix="0" xfId="47">
      <alignment horizontal="center"/>
    </xf>
    <xf numFmtId="0" fontId="36" fillId="35" borderId="0" pivotButton="0" quotePrefix="0" xfId="0"/>
    <xf numFmtId="170" fontId="36" fillId="7" borderId="0" applyAlignment="1" pivotButton="0" quotePrefix="1" xfId="0">
      <alignment horizontal="centerContinuous"/>
    </xf>
    <xf numFmtId="165" fontId="36" fillId="7" borderId="0" pivotButton="0" quotePrefix="0" xfId="47"/>
    <xf numFmtId="9" fontId="36" fillId="7" borderId="0" pivotButton="0" quotePrefix="0" xfId="47"/>
    <xf numFmtId="15" fontId="36" fillId="35" borderId="0" pivotButton="0" quotePrefix="0" xfId="0"/>
    <xf numFmtId="3" fontId="37" fillId="35" borderId="0" applyAlignment="1" pivotButton="0" quotePrefix="0" xfId="47">
      <alignment horizontal="centerContinuous"/>
    </xf>
    <xf numFmtId="0" fontId="31" fillId="7" borderId="0" applyAlignment="1" pivotButton="0" quotePrefix="0" xfId="0">
      <alignment horizontal="centerContinuous"/>
    </xf>
    <xf numFmtId="0" fontId="11" fillId="7" borderId="0" applyAlignment="1" pivotButton="0" quotePrefix="0" xfId="0">
      <alignment horizontal="centerContinuous"/>
    </xf>
    <xf numFmtId="0" fontId="12" fillId="7" borderId="0" applyAlignment="1" pivotButton="0" quotePrefix="0" xfId="0">
      <alignment horizontal="centerContinuous"/>
    </xf>
    <xf numFmtId="0" fontId="38" fillId="7" borderId="0" applyAlignment="1" pivotButton="0" quotePrefix="0" xfId="0">
      <alignment horizontal="centerContinuous"/>
    </xf>
    <xf numFmtId="0" fontId="39" fillId="7" borderId="0" pivotButton="0" quotePrefix="0" xfId="0"/>
    <xf numFmtId="0" fontId="39" fillId="7" borderId="0" applyAlignment="1" pivotButton="0" quotePrefix="0" xfId="0">
      <alignment horizontal="centerContinuous"/>
    </xf>
    <xf numFmtId="0" fontId="40" fillId="7" borderId="0" applyAlignment="1" pivotButton="0" quotePrefix="0" xfId="0">
      <alignment horizontal="centerContinuous"/>
    </xf>
    <xf numFmtId="0" fontId="41" fillId="7" borderId="0" pivotButton="0" quotePrefix="0" xfId="0"/>
    <xf numFmtId="0" fontId="42" fillId="7" borderId="0" applyAlignment="1" pivotButton="0" quotePrefix="0" xfId="0">
      <alignment horizontal="centerContinuous"/>
    </xf>
    <xf numFmtId="0" fontId="20" fillId="7" borderId="0" applyAlignment="1" pivotButton="0" quotePrefix="0" xfId="0">
      <alignment horizontal="justify" vertical="justify" wrapText="1"/>
    </xf>
    <xf numFmtId="0" fontId="10" fillId="7" borderId="0" pivotButton="0" quotePrefix="0" xfId="0"/>
  </cellXfs>
  <cellStyles count="51">
    <cellStyle name="Normal" xfId="0" builtinId="0"/>
    <cellStyle name="20% - Accent1 2" xfId="1"/>
    <cellStyle name="20% - Accent2 2" xfId="2"/>
    <cellStyle name="20% - Accent3 2" xfId="3"/>
    <cellStyle name="20% - Accent4 2" xfId="4"/>
    <cellStyle name="20% - Accent5 2" xfId="5"/>
    <cellStyle name="20% - Accent6 2" xfId="6"/>
    <cellStyle name="40% - Accent1 2" xfId="7"/>
    <cellStyle name="40% - Accent2 2" xfId="8"/>
    <cellStyle name="40% - Accent3 2" xfId="9"/>
    <cellStyle name="40% - Accent4 2" xfId="10"/>
    <cellStyle name="40% - Accent5 2" xfId="11"/>
    <cellStyle name="40% - Accent6 2" xfId="12"/>
    <cellStyle name="60% - Accent1 2" xfId="13"/>
    <cellStyle name="60% - Accent2 2" xfId="14"/>
    <cellStyle name="60% - Accent3 2" xfId="15"/>
    <cellStyle name="60% - Accent4 2" xfId="16"/>
    <cellStyle name="60% - Accent5 2" xfId="17"/>
    <cellStyle name="60% - Accent6 2" xfId="18"/>
    <cellStyle name="Accent1 2" xfId="19"/>
    <cellStyle name="Accent2 2" xfId="20"/>
    <cellStyle name="Accent3 2" xfId="21"/>
    <cellStyle name="Accent4 2" xfId="22"/>
    <cellStyle name="Accent5 2" xfId="23"/>
    <cellStyle name="Accent6 2" xfId="24"/>
    <cellStyle name="Bad 2" xfId="25"/>
    <cellStyle name="Bom" xfId="26"/>
    <cellStyle name="Calculation 2" xfId="27"/>
    <cellStyle name="Célula de Verificação" xfId="28"/>
    <cellStyle name="Célula Vinculada" xfId="29"/>
    <cellStyle name="Comma" xfId="30" builtinId="3"/>
    <cellStyle name="Comma 2" xfId="31"/>
    <cellStyle name="Entrada" xfId="32"/>
    <cellStyle name="Euro" xfId="33"/>
    <cellStyle name="Euro 2" xfId="34"/>
    <cellStyle name="Explanatory Text 2" xfId="35"/>
    <cellStyle name="Heading 1 2" xfId="36"/>
    <cellStyle name="Heading 2 2" xfId="37"/>
    <cellStyle name="Heading 3 2" xfId="38"/>
    <cellStyle name="Heading 4 2" xfId="39"/>
    <cellStyle name="Neutra" xfId="40"/>
    <cellStyle name="Normal 2" xfId="41"/>
    <cellStyle name="Normal 3" xfId="42"/>
    <cellStyle name="Nota" xfId="43"/>
    <cellStyle name="Note 2" xfId="44"/>
    <cellStyle name="Note 3" xfId="45"/>
    <cellStyle name="Output 2" xfId="46"/>
    <cellStyle name="Percent" xfId="47" builtinId="5"/>
    <cellStyle name="Percent 2" xfId="48"/>
    <cellStyle name="Texto de Aviso" xfId="49"/>
    <cellStyle name="Title 2" xfId="5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2">
    <outlinePr summaryBelow="1" summaryRight="1"/>
    <pageSetUpPr fitToPage="1"/>
  </sheetPr>
  <dimension ref="A1:H47"/>
  <sheetViews>
    <sheetView showGridLines="0" tabSelected="1" view="pageBreakPreview" topLeftCell="A24" zoomScaleNormal="100" zoomScaleSheetLayoutView="100" workbookViewId="0">
      <selection activeCell="B31" sqref="B31"/>
    </sheetView>
  </sheetViews>
  <sheetFormatPr baseColWidth="8" defaultColWidth="9.140625" defaultRowHeight="12.75"/>
  <cols>
    <col width="13.42578125" customWidth="1" style="63" min="1" max="1"/>
    <col width="18.7109375" customWidth="1" style="63" min="2" max="6"/>
    <col width="5.42578125" customWidth="1" style="63" min="7" max="7"/>
    <col width="23.140625" bestFit="1" customWidth="1" style="63" min="8" max="8"/>
    <col width="23.42578125" bestFit="1" customWidth="1" style="63" min="9" max="9"/>
    <col width="9.140625" customWidth="1" style="63" min="10" max="19"/>
    <col width="9.140625" customWidth="1" style="63" min="20" max="16384"/>
  </cols>
  <sheetData>
    <row r="1" hidden="1">
      <c r="A1" s="1">
        <f>DataAnálise</f>
        <v/>
      </c>
    </row>
    <row r="2" hidden="1"/>
    <row r="3" hidden="1"/>
    <row r="4" hidden="1"/>
    <row r="5" hidden="1"/>
    <row r="7" ht="12.75" customHeight="1">
      <c r="A7" s="1" t="n"/>
      <c r="B7" s="3" t="n"/>
      <c r="C7" s="4" t="n"/>
      <c r="D7" s="4" t="n"/>
      <c r="E7" s="5" t="n"/>
      <c r="F7" s="5" t="n"/>
      <c r="G7" s="4" t="n"/>
    </row>
    <row r="8" ht="12.75" customHeight="1">
      <c r="A8" s="4" t="n"/>
      <c r="B8" s="4" t="n"/>
      <c r="C8" s="4" t="n"/>
      <c r="D8" s="4" t="n"/>
      <c r="E8" s="4" t="n"/>
      <c r="F8" s="4" t="n"/>
      <c r="G8" s="4" t="n"/>
    </row>
    <row r="9" ht="12.75" customHeight="1">
      <c r="A9" s="4" t="n"/>
      <c r="B9" s="4" t="n"/>
      <c r="C9" s="4" t="n"/>
      <c r="D9" s="4" t="n"/>
      <c r="E9" s="4" t="n"/>
      <c r="F9" s="4" t="n"/>
      <c r="G9" s="4" t="n"/>
    </row>
    <row r="10" ht="12.75" customHeight="1">
      <c r="A10" s="4" t="n"/>
      <c r="B10" s="4" t="n"/>
      <c r="C10" s="6" t="n"/>
      <c r="D10" s="6" t="n"/>
      <c r="E10" s="6" t="n"/>
      <c r="F10" s="6" t="n"/>
      <c r="G10" s="4" t="n"/>
    </row>
    <row r="11" ht="15.95" customHeight="1">
      <c r="A11" s="4" t="n"/>
      <c r="B11" s="53" t="inlineStr">
        <is>
          <t>CAPITÂNIA PREV ADVISORY XP SEG FIFE FIF RF CP RL</t>
        </is>
      </c>
      <c r="C11" s="54" t="n"/>
      <c r="D11" s="55" t="n"/>
      <c r="E11" s="55" t="n"/>
      <c r="F11" s="55" t="n"/>
      <c r="G11" s="4" t="n"/>
    </row>
    <row r="12" ht="15.95" customHeight="1">
      <c r="A12" s="4" t="n"/>
      <c r="B12" s="53" t="inlineStr">
        <is>
          <t>CNPJ 41.672.242/0001-09</t>
        </is>
      </c>
      <c r="C12" s="54" t="n"/>
      <c r="D12" s="55" t="n"/>
      <c r="E12" s="55" t="n"/>
      <c r="F12" s="55" t="n"/>
      <c r="G12" s="4" t="n"/>
    </row>
    <row r="13" ht="15.95" customFormat="1" customHeight="1" s="60">
      <c r="A13" s="57" t="n"/>
      <c r="B13" s="56" t="inlineStr">
        <is>
          <t>Administrador: BNY Mellon</t>
        </is>
      </c>
      <c r="C13" s="58" t="n"/>
      <c r="D13" s="59" t="n"/>
      <c r="E13" s="59" t="n"/>
      <c r="F13" s="59" t="n"/>
      <c r="G13" s="57" t="n"/>
    </row>
    <row r="14" ht="15.95" customFormat="1" customHeight="1" s="60">
      <c r="A14" s="57" t="n"/>
      <c r="B14" s="56" t="inlineStr">
        <is>
          <t>Cotização de Resgates: D+5 d.u</t>
        </is>
      </c>
      <c r="C14" s="58" t="n"/>
      <c r="D14" s="59" t="n"/>
      <c r="E14" s="59" t="n"/>
      <c r="F14" s="59" t="n"/>
      <c r="G14" s="57" t="n"/>
    </row>
    <row r="15" ht="15.95" customFormat="1" customHeight="1" s="60">
      <c r="A15" s="57" t="n"/>
      <c r="B15" s="56" t="inlineStr">
        <is>
          <t>Pagamento de Resgates: D+1 d.u</t>
        </is>
      </c>
      <c r="C15" s="58" t="n"/>
      <c r="D15" s="59" t="n"/>
      <c r="E15" s="59" t="n"/>
      <c r="F15" s="59" t="n"/>
      <c r="G15" s="57" t="n"/>
    </row>
    <row r="16" ht="15.95" customFormat="1" customHeight="1" s="60">
      <c r="A16" s="57" t="n"/>
      <c r="B16" s="61" t="n"/>
      <c r="C16" s="58" t="n"/>
      <c r="D16" s="59" t="n"/>
      <c r="E16" s="59" t="n"/>
      <c r="F16" s="59" t="n"/>
      <c r="G16" s="57" t="n"/>
    </row>
    <row r="17" ht="26.1" customHeight="1">
      <c r="A17" s="4" t="n"/>
      <c r="B17" s="7" t="inlineStr">
        <is>
          <t>Data</t>
        </is>
      </c>
      <c r="C17" s="30" t="inlineStr">
        <is>
          <t>Cota</t>
        </is>
      </c>
      <c r="D17" s="30" t="inlineStr">
        <is>
          <t>Retorno</t>
        </is>
      </c>
      <c r="E17" s="8" t="inlineStr">
        <is>
          <t>CDI</t>
        </is>
      </c>
      <c r="F17" s="8" t="inlineStr">
        <is>
          <t>% CDI</t>
        </is>
      </c>
      <c r="G17" s="4" t="n"/>
    </row>
    <row r="18" ht="15.95" customFormat="1" customHeight="1" s="36">
      <c r="B18" s="37" t="inlineStr">
        <is>
          <t>2026-04-10</t>
        </is>
      </c>
      <c r="C18" s="38" t="n">
        <v>1.49250557</v>
      </c>
      <c r="D18" s="39" t="n">
        <v>0.000635121021924645</v>
      </c>
      <c r="E18" s="39" t="n">
        <v>0.0005426623598601132</v>
      </c>
      <c r="F18" s="40" t="n">
        <v>1.170379722095274</v>
      </c>
    </row>
    <row r="19" ht="15.95" customFormat="1" customHeight="1" s="36">
      <c r="B19" s="41" t="inlineStr">
        <is>
          <t>2026-04-09</t>
        </is>
      </c>
      <c r="C19" s="42" t="n">
        <v>1.49155825</v>
      </c>
      <c r="D19" s="43" t="n">
        <v>-0.001078692422823879</v>
      </c>
      <c r="E19" s="43" t="n">
        <v>0.0005426623598601132</v>
      </c>
      <c r="F19" s="44" t="n">
        <v>-1.987778225675986</v>
      </c>
    </row>
    <row r="20" ht="15.95" customFormat="1" customHeight="1" s="36">
      <c r="B20" s="41" t="inlineStr">
        <is>
          <t>2026-04-08</t>
        </is>
      </c>
      <c r="C20" s="42" t="n">
        <v>1.49316892</v>
      </c>
      <c r="D20" s="43" t="n">
        <v>0.001638624203943451</v>
      </c>
      <c r="E20" s="43" t="n">
        <v>0.0005426623598601132</v>
      </c>
      <c r="F20" s="44" t="n">
        <v>3.019601736088446</v>
      </c>
    </row>
    <row r="21" ht="15.95" customFormat="1" customHeight="1" s="36">
      <c r="B21" s="41" t="inlineStr">
        <is>
          <t>2026-04-07</t>
        </is>
      </c>
      <c r="C21" s="42" t="n">
        <v>1.49072618</v>
      </c>
      <c r="D21" s="43" t="n">
        <v>-0.001769115039096936</v>
      </c>
      <c r="E21" s="43" t="n">
        <v>0.0005426623598601132</v>
      </c>
      <c r="F21" s="44" t="n">
        <v>-3.26006587144348</v>
      </c>
    </row>
    <row r="22" ht="15.95" customFormat="1" customHeight="1" s="36">
      <c r="B22" s="41" t="inlineStr">
        <is>
          <t>2026-04-06</t>
        </is>
      </c>
      <c r="C22" s="42" t="n">
        <v>1.49336812</v>
      </c>
      <c r="D22" s="43" t="n">
        <v>0.0003940366534005424</v>
      </c>
      <c r="E22" s="43" t="n">
        <v>0.0005426623598601132</v>
      </c>
      <c r="F22" s="44" t="n">
        <v>0.7261175319071634</v>
      </c>
    </row>
    <row r="23" ht="15.95" customHeight="1">
      <c r="A23" s="4" t="n"/>
      <c r="B23" s="9" t="n"/>
      <c r="C23" s="10" t="n"/>
      <c r="D23" s="11" t="n"/>
      <c r="E23" s="11" t="n"/>
      <c r="F23" s="11" t="n"/>
      <c r="G23" s="4" t="n"/>
    </row>
    <row r="24" ht="26.1" customHeight="1">
      <c r="A24" s="4" t="n"/>
      <c r="B24" s="32" t="inlineStr">
        <is>
          <t>Referência</t>
        </is>
      </c>
      <c r="C24" s="32" t="n"/>
      <c r="D24" s="30" t="inlineStr">
        <is>
          <t>Retorno</t>
        </is>
      </c>
      <c r="E24" s="8" t="inlineStr">
        <is>
          <t>CDI</t>
        </is>
      </c>
      <c r="F24" s="8" t="inlineStr">
        <is>
          <t>% CDI</t>
        </is>
      </c>
      <c r="G24" s="4" t="n"/>
    </row>
    <row r="25" ht="15.95" customFormat="1" customHeight="1" s="36">
      <c r="B25" s="45" t="inlineStr">
        <is>
          <t>Apr-26</t>
        </is>
      </c>
      <c r="C25" s="45" t="inlineStr"/>
      <c r="D25" s="39" t="n">
        <v>0.01103564489225106</v>
      </c>
      <c r="E25" s="39" t="n">
        <v>0.003804826246388782</v>
      </c>
      <c r="F25" s="40" t="n">
        <v>2.900433338506629</v>
      </c>
      <c r="G25" s="46" t="n"/>
    </row>
    <row r="26" ht="15.95" customFormat="1" customHeight="1" s="36">
      <c r="A26" s="47" t="n"/>
      <c r="B26" s="48" t="inlineStr">
        <is>
          <t>Últimos 30 dias</t>
        </is>
      </c>
      <c r="C26" s="48" t="inlineStr"/>
      <c r="D26" s="43" t="n">
        <v>-0.01438745921453122</v>
      </c>
      <c r="E26" s="43" t="n">
        <v>0.0115104208368324</v>
      </c>
      <c r="F26" s="44" t="n">
        <v>-1.249950754927442</v>
      </c>
      <c r="G26" s="49" t="n"/>
      <c r="H26" s="50" t="n"/>
    </row>
    <row r="27" ht="15.95" customFormat="1" customHeight="1" s="36">
      <c r="A27" s="47" t="n"/>
      <c r="B27" s="48" t="inlineStr">
        <is>
          <t>Últimos 90 dias</t>
        </is>
      </c>
      <c r="C27" s="48" t="inlineStr"/>
      <c r="D27" s="43" t="n">
        <v>0.002392131893868221</v>
      </c>
      <c r="E27" s="43" t="n">
        <v>0.03519865594435645</v>
      </c>
      <c r="F27" s="44" t="n">
        <v>0.06796088741711634</v>
      </c>
      <c r="G27" s="49" t="n"/>
    </row>
    <row r="28" ht="15.95" customFormat="1" customHeight="1" s="36">
      <c r="A28" s="51" t="n"/>
      <c r="B28" s="48" t="inlineStr">
        <is>
          <t>Últimos 180 dias</t>
        </is>
      </c>
      <c r="C28" s="48" t="inlineStr"/>
      <c r="D28" s="43" t="n">
        <v>0.02460749973231602</v>
      </c>
      <c r="E28" s="43" t="n">
        <v>0.07177520746070365</v>
      </c>
      <c r="F28" s="44" t="n">
        <v>0.3428412205675397</v>
      </c>
      <c r="G28" s="49" t="n"/>
    </row>
    <row r="29" ht="15.95" customFormat="1" customHeight="1" s="36">
      <c r="A29" s="51" t="n"/>
      <c r="B29" s="48" t="inlineStr">
        <is>
          <t>Últimos 360 dias</t>
        </is>
      </c>
      <c r="C29" s="48" t="inlineStr"/>
      <c r="D29" s="43" t="n">
        <v>0.08276638240642731</v>
      </c>
      <c r="E29" s="43" t="n">
        <v>0.148016036262707</v>
      </c>
      <c r="F29" s="44" t="n">
        <v>0.559171725552284</v>
      </c>
      <c r="G29" s="49" t="n"/>
    </row>
    <row r="30" ht="15.95" customFormat="1" customHeight="1" s="36">
      <c r="A30" s="51" t="n"/>
      <c r="B30" s="48" t="inlineStr">
        <is>
          <t>Últimos 720 dias</t>
        </is>
      </c>
      <c r="C30" s="48" t="inlineStr"/>
      <c r="D30" s="43" t="n">
        <v>0.155340854160084</v>
      </c>
      <c r="E30" s="43" t="n">
        <v>0.2779304689804314</v>
      </c>
      <c r="F30" s="44" t="n">
        <v>0.5589198432613062</v>
      </c>
      <c r="G30" s="49" t="n"/>
    </row>
    <row r="31" ht="15.95" customFormat="1" customHeight="1" s="36">
      <c r="A31" s="51" t="n"/>
      <c r="B31" s="48" t="inlineStr">
        <is>
          <t>Ano 2026</t>
        </is>
      </c>
      <c r="C31" s="48" t="inlineStr"/>
      <c r="D31" s="43" t="n">
        <v>0.001631421642283692</v>
      </c>
      <c r="E31" s="43" t="n">
        <v>0.0380553842733744</v>
      </c>
      <c r="F31" s="44" t="n">
        <v>0.04286966676158682</v>
      </c>
      <c r="G31" s="49" t="n"/>
    </row>
    <row r="32" ht="15.95" customFormat="1" customHeight="1" s="36">
      <c r="A32" s="51" t="n"/>
      <c r="B32" s="48" t="inlineStr">
        <is>
          <t>Ano 2025</t>
        </is>
      </c>
      <c r="C32" s="48" t="inlineStr"/>
      <c r="D32" s="43" t="n">
        <v>0.1136800096886805</v>
      </c>
      <c r="E32" s="43" t="n">
        <v>0.143132751155109</v>
      </c>
      <c r="F32" s="44" t="n">
        <v>0.794227797420652</v>
      </c>
      <c r="G32" s="49" t="n"/>
    </row>
    <row r="33" ht="15.95" customFormat="1" customHeight="1" s="36">
      <c r="A33" s="51" t="n"/>
      <c r="B33" s="48" t="inlineStr">
        <is>
          <t>Ano 2024</t>
        </is>
      </c>
      <c r="C33" s="48" t="inlineStr"/>
      <c r="D33" s="43" t="n">
        <v>0.06718693236037376</v>
      </c>
      <c r="E33" s="43" t="n">
        <v>0.1092049264357533</v>
      </c>
      <c r="F33" s="44" t="n">
        <v>0.6152371926178689</v>
      </c>
      <c r="G33" s="49" t="n"/>
    </row>
    <row r="34" ht="15.95" customFormat="1" customHeight="1" s="36">
      <c r="A34" s="51" t="n"/>
      <c r="B34" s="48" t="inlineStr">
        <is>
          <t>Acumulado²</t>
        </is>
      </c>
      <c r="C34" s="48" t="inlineStr"/>
      <c r="D34" s="43" t="n">
        <v>0.4925055700000001</v>
      </c>
      <c r="E34" s="43" t="n">
        <v>0.678461824014158</v>
      </c>
      <c r="F34" s="44" t="n">
        <v>0.7259149337040997</v>
      </c>
      <c r="G34" s="49" t="n"/>
    </row>
    <row r="35" ht="15.95" customHeight="1">
      <c r="A35" s="13" t="n"/>
      <c r="B35" s="14" t="n"/>
      <c r="C35" s="10" t="n"/>
      <c r="D35" s="10" t="n"/>
      <c r="E35" s="10" t="n"/>
      <c r="F35" s="10" t="n"/>
      <c r="G35" s="4" t="n"/>
    </row>
    <row r="36" ht="26.1" customHeight="1">
      <c r="A36" s="13" t="n"/>
      <c r="B36" s="31" t="inlineStr">
        <is>
          <t>Patrimônio Líquido (R$)</t>
        </is>
      </c>
      <c r="C36" s="31" t="n"/>
      <c r="D36" s="31" t="n"/>
      <c r="E36" s="31" t="n"/>
      <c r="F36" s="31" t="n"/>
      <c r="G36" s="4" t="n"/>
    </row>
    <row r="37" ht="15.95" customHeight="1">
      <c r="A37" s="17" t="n"/>
      <c r="B37" s="15" t="inlineStr">
        <is>
          <t>Hoje¹</t>
        </is>
      </c>
      <c r="C37" s="16" t="n"/>
      <c r="D37" s="16" t="n"/>
      <c r="E37" s="52" t="n">
        <v>779190135.02</v>
      </c>
      <c r="F37" s="34" t="n"/>
      <c r="G37" s="4" t="n"/>
    </row>
    <row r="38" ht="15.95" customHeight="1">
      <c r="A38" s="17" t="n"/>
      <c r="B38" s="18" t="inlineStr">
        <is>
          <t>Últimos 12 Meses (Média Diária)¹</t>
        </is>
      </c>
      <c r="C38" s="16" t="n"/>
      <c r="D38" s="16" t="n"/>
      <c r="E38" s="52" t="n">
        <v>1047660436.019325</v>
      </c>
      <c r="F38" s="34" t="n"/>
      <c r="G38" s="4" t="n"/>
    </row>
    <row r="39" ht="15.95" customHeight="1">
      <c r="A39" s="17" t="n"/>
      <c r="B39" s="19" t="n"/>
      <c r="C39" s="4" t="n"/>
      <c r="D39" s="4" t="n"/>
      <c r="E39" s="4" t="n"/>
      <c r="F39" s="4" t="n"/>
      <c r="G39" s="4" t="n"/>
    </row>
    <row r="40" ht="15.95" customHeight="1">
      <c r="A40" s="23" t="n"/>
      <c r="B40" s="20" t="inlineStr">
        <is>
          <t>¹Data de Referência:</t>
        </is>
      </c>
      <c r="C40" s="21" t="inlineStr">
        <is>
          <t>2026-04-10</t>
        </is>
      </c>
      <c r="D40" s="22" t="n"/>
      <c r="E40" s="22" t="n"/>
      <c r="F40" s="22" t="n"/>
      <c r="G40" s="4" t="n"/>
    </row>
    <row r="41" ht="15.95" customHeight="1">
      <c r="B41" s="21" t="inlineStr">
        <is>
          <t xml:space="preserve">²Cota Inicial em: </t>
        </is>
      </c>
      <c r="C41" s="21" t="inlineStr">
        <is>
          <t>2021-12-16</t>
        </is>
      </c>
      <c r="D41" s="24" t="n"/>
      <c r="E41" s="24" t="n"/>
      <c r="F41" s="24" t="n"/>
      <c r="G41" s="4" t="n"/>
    </row>
    <row r="42" ht="15.95" customHeight="1">
      <c r="B42" s="25" t="n"/>
      <c r="C42" s="26" t="n"/>
      <c r="D42" s="24" t="n"/>
      <c r="E42" s="24" t="n"/>
      <c r="F42" s="24" t="n"/>
      <c r="G42" s="4" t="n"/>
    </row>
    <row r="43" ht="47.25" customHeight="1">
      <c r="A43" s="4" t="n"/>
      <c r="B43" s="35" t="inlineStr">
        <is>
          <t>As informações contidas neste material são de caráter exclusivamente informativo. Fundos de investimento não contam com garantia do administrador do fundo, do gestor da carteira, de qualquer mecanismo de seguro ou, ainda, do Fundo Garantidor de Créditos – FGC. Rentabilidade passada não representa garantia de rentabilidade futura. "A rentabilidade divulgada não é líquida de impostos.“ Leia o prospecto e o regulamento antes de investir.</t>
        </is>
      </c>
      <c r="C43" s="33" t="n"/>
      <c r="D43" s="33" t="n"/>
      <c r="E43" s="33" t="n"/>
      <c r="F43" s="33" t="n"/>
      <c r="G43" s="4" t="n"/>
    </row>
    <row r="44">
      <c r="A44" s="4" t="n"/>
      <c r="B44" s="62" t="n"/>
      <c r="G44" s="4" t="n"/>
    </row>
    <row r="45">
      <c r="A45" s="4" t="n"/>
      <c r="B45" s="27" t="n"/>
      <c r="C45" s="27" t="n"/>
      <c r="D45" s="27" t="n"/>
      <c r="E45" s="27" t="n"/>
      <c r="F45" s="27" t="n"/>
      <c r="G45" s="4" t="n"/>
    </row>
    <row r="46">
      <c r="A46" s="4" t="n"/>
      <c r="B46" s="28" t="n"/>
      <c r="C46" s="29" t="n"/>
      <c r="D46" s="12" t="n"/>
      <c r="E46" s="12" t="n"/>
      <c r="F46" s="12" t="n"/>
      <c r="G46" s="4" t="n"/>
    </row>
    <row r="47">
      <c r="B47" s="28" t="n"/>
      <c r="C47" s="29" t="n"/>
      <c r="D47" s="12" t="n"/>
      <c r="E47" s="12" t="n"/>
      <c r="F47" s="12" t="n"/>
    </row>
  </sheetData>
  <mergeCells count="1">
    <mergeCell ref="B44:F44"/>
  </mergeCells>
  <printOptions horizontalCentered="1" verticalCentered="1"/>
  <pageMargins left="0.5" right="0.5" top="0.5" bottom="0.5" header="0.5" footer="0.5"/>
  <pageSetup orientation="landscape" paperSize="9" scale="8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gabriel</dc:creator>
  <dcterms:created xmlns:dcterms="http://purl.org/dc/terms/" xmlns:xsi="http://www.w3.org/2001/XMLSchema-instance" xsi:type="dcterms:W3CDTF">2007-06-29T23:36:13Z</dcterms:created>
  <dcterms:modified xmlns:dcterms="http://purl.org/dc/terms/" xmlns:xsi="http://www.w3.org/2001/XMLSchema-instance" xsi:type="dcterms:W3CDTF">2026-04-13T23:32:38Z</dcterms:modified>
  <cp:lastModifiedBy>Lucieli Cristina de Castilho Andrade</cp:lastModifiedBy>
  <cp:lastPrinted>2025-04-22T16:50:26Z</cp:lastPrinted>
</cp:coreProperties>
</file>
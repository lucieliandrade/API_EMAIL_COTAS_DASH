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20370" yWindow="-60" windowWidth="20730" windowHeight="11040" tabRatio="711" firstSheet="0" activeTab="0" autoFilterDateGrouping="1"/>
  </bookViews>
  <sheets>
    <sheet name="Email" sheetId="1" state="visible" r:id="rId1"/>
  </sheets>
  <definedNames>
    <definedName name="DataAnálise">Email!$A$7</definedName>
    <definedName name="_xlnm.Print_Area" localSheetId="0">'Email'!$B$7:$F$43</definedName>
  </definedNames>
  <calcPr calcId="191029" fullCalcOnLoad="1"/>
</workbook>
</file>

<file path=xl/styles.xml><?xml version="1.0" encoding="utf-8"?>
<styleSheet xmlns="http://schemas.openxmlformats.org/spreadsheetml/2006/main">
  <numFmts count="9">
    <numFmt numFmtId="164" formatCode="#,##0.0000000"/>
    <numFmt numFmtId="165" formatCode="0.000%"/>
    <numFmt numFmtId="166" formatCode="[$-416]d\-mmm\-yy;@"/>
    <numFmt numFmtId="167" formatCode="[$-409]dd\-mmm\-yy;@"/>
    <numFmt numFmtId="168" formatCode="_(* #,##0.0000000_);_(* \(#,##0.0000000\);_(* &quot;-&quot;??_);_(@_)"/>
    <numFmt numFmtId="169" formatCode="#,##0.00000000"/>
    <numFmt numFmtId="170" formatCode="[$-409]mmm\-yy;@"/>
    <numFmt numFmtId="171" formatCode="_([$€]* #,##0.00_);_([$€]* \(#,##0.00\);_([$€]* &quot;-&quot;??_);_(@_)"/>
    <numFmt numFmtId="172" formatCode="_([$€-2]* #,##0.00_);_([$€-2]* \(#,##0.00\);_([$€-2]* &quot;-&quot;??_)"/>
  </numFmts>
  <fonts count="43">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color indexed="8"/>
      <sz val="10"/>
    </font>
    <font>
      <name val="Verdana"/>
      <family val="2"/>
      <i val="1"/>
      <sz val="9"/>
    </font>
    <font>
      <name val="Verdana"/>
      <family val="2"/>
      <b val="1"/>
      <sz val="10"/>
    </font>
    <font>
      <name val="Verdana"/>
      <family val="2"/>
      <sz val="8"/>
    </font>
    <font>
      <name val="Verdana"/>
      <family val="2"/>
      <i val="1"/>
      <sz val="8"/>
      <vertAlign val="superscript"/>
    </font>
    <font>
      <name val="Verdana"/>
      <family val="2"/>
      <i val="1"/>
      <sz val="8"/>
    </font>
    <font>
      <name val="Verdana"/>
      <family val="2"/>
      <color indexed="56"/>
      <sz val="6"/>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b val="1"/>
      <color rgb="FF1B51A3"/>
      <sz val="12"/>
    </font>
    <font>
      <name val="Verdana"/>
      <family val="2"/>
      <b val="1"/>
      <color rgb="FF03163E"/>
      <sz val="10"/>
    </font>
    <font>
      <name val="Verdana"/>
      <family val="2"/>
      <color theme="0"/>
      <sz val="10"/>
    </font>
    <font>
      <name val="Verdana"/>
      <family val="2"/>
      <i val="1"/>
      <color theme="1" tint="0.499984740745262"/>
      <sz val="7"/>
    </font>
    <font>
      <name val="Verdana"/>
      <family val="2"/>
      <color theme="1" tint="0.499984740745262"/>
      <sz val="7"/>
    </font>
    <font>
      <name val="Verdana"/>
      <family val="2"/>
      <color rgb="FF003366"/>
      <sz val="10"/>
    </font>
    <font>
      <name val="Verdana"/>
      <family val="2"/>
      <b val="1"/>
      <color rgb="FF003366"/>
      <sz val="10"/>
    </font>
    <font>
      <name val="Verdana"/>
      <family val="2"/>
      <color rgb="FF1B51A3"/>
      <sz val="9"/>
    </font>
    <font>
      <name val="Verdana"/>
      <family val="2"/>
      <color indexed="18"/>
      <sz val="9"/>
    </font>
    <font>
      <name val="Verdana"/>
      <family val="2"/>
      <b val="1"/>
      <i val="1"/>
      <color indexed="18"/>
      <sz val="9"/>
    </font>
    <font>
      <name val="Verdana"/>
      <family val="2"/>
      <sz val="9"/>
    </font>
    <font>
      <name val="Verdana"/>
      <family val="2"/>
      <b val="1"/>
      <color rgb="FF1B51A3"/>
      <sz val="9"/>
    </font>
  </fonts>
  <fills count="38">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21" fillId="8" borderId="0"/>
    <xf numFmtId="0" fontId="21" fillId="9" borderId="0"/>
    <xf numFmtId="0" fontId="21" fillId="10" borderId="0"/>
    <xf numFmtId="0" fontId="21" fillId="11" borderId="0"/>
    <xf numFmtId="0" fontId="21" fillId="12" borderId="0"/>
    <xf numFmtId="0" fontId="21" fillId="13" borderId="0"/>
    <xf numFmtId="0" fontId="21" fillId="14" borderId="0"/>
    <xf numFmtId="0" fontId="21" fillId="15" borderId="0"/>
    <xf numFmtId="0" fontId="21" fillId="16" borderId="0"/>
    <xf numFmtId="0" fontId="21" fillId="17" borderId="0"/>
    <xf numFmtId="0" fontId="21" fillId="18" borderId="0"/>
    <xf numFmtId="0" fontId="21" fillId="19" borderId="0"/>
    <xf numFmtId="0" fontId="22" fillId="20" borderId="0"/>
    <xf numFmtId="0" fontId="22" fillId="21" borderId="0"/>
    <xf numFmtId="0" fontId="22" fillId="22" borderId="0"/>
    <xf numFmtId="0" fontId="22" fillId="23" borderId="0"/>
    <xf numFmtId="0" fontId="22" fillId="24" borderId="0"/>
    <xf numFmtId="0" fontId="22" fillId="25" borderId="0"/>
    <xf numFmtId="0" fontId="22" fillId="26" borderId="0"/>
    <xf numFmtId="0" fontId="22" fillId="27" borderId="0"/>
    <xf numFmtId="0" fontId="22" fillId="28" borderId="0"/>
    <xf numFmtId="0" fontId="22" fillId="29" borderId="0"/>
    <xf numFmtId="0" fontId="22" fillId="30" borderId="0"/>
    <xf numFmtId="0" fontId="22" fillId="31" borderId="0"/>
    <xf numFmtId="0" fontId="23" fillId="32" borderId="0"/>
    <xf numFmtId="0" fontId="1" fillId="2" borderId="0"/>
    <xf numFmtId="0" fontId="24" fillId="33" borderId="5"/>
    <xf numFmtId="0" fontId="5" fillId="4" borderId="2"/>
    <xf numFmtId="0" fontId="4" fillId="0" borderId="3"/>
    <xf numFmtId="43" fontId="7" fillId="0" borderId="0"/>
    <xf numFmtId="43" fontId="7" fillId="0" borderId="0"/>
    <xf numFmtId="0" fontId="3" fillId="3" borderId="1"/>
    <xf numFmtId="171" fontId="7" fillId="0" borderId="0"/>
    <xf numFmtId="172" fontId="7" fillId="0" borderId="0"/>
    <xf numFmtId="0" fontId="25" fillId="0" borderId="0"/>
    <xf numFmtId="0" fontId="26" fillId="0" borderId="6"/>
    <xf numFmtId="0" fontId="27" fillId="0" borderId="7"/>
    <xf numFmtId="0" fontId="28" fillId="0" borderId="8"/>
    <xf numFmtId="0" fontId="28" fillId="0" borderId="0"/>
    <xf numFmtId="0" fontId="2" fillId="5" borderId="0"/>
    <xf numFmtId="0" fontId="21" fillId="0" borderId="0"/>
    <xf numFmtId="0" fontId="7" fillId="0" borderId="0"/>
    <xf numFmtId="0" fontId="7" fillId="6" borderId="4"/>
    <xf numFmtId="0" fontId="8" fillId="34" borderId="9"/>
    <xf numFmtId="0" fontId="21" fillId="34" borderId="9"/>
    <xf numFmtId="0" fontId="29" fillId="33" borderId="10"/>
    <xf numFmtId="9" fontId="7" fillId="0" borderId="0"/>
    <xf numFmtId="9" fontId="7" fillId="0" borderId="0"/>
    <xf numFmtId="0" fontId="6" fillId="0" borderId="0"/>
    <xf numFmtId="0" fontId="30" fillId="0" borderId="0"/>
  </cellStyleXfs>
  <cellXfs count="64">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0" fillId="0" borderId="0" pivotButton="0" quotePrefix="0" xfId="0"/>
    <xf numFmtId="0" fontId="11" fillId="7" borderId="0" pivotButton="0" quotePrefix="0" xfId="0"/>
    <xf numFmtId="0" fontId="9" fillId="7" borderId="0" pivotButton="0" quotePrefix="0" xfId="0"/>
    <xf numFmtId="0" fontId="12" fillId="7" borderId="0" applyAlignment="1" pivotButton="0" quotePrefix="0" xfId="0">
      <alignment horizontal="center"/>
    </xf>
    <xf numFmtId="0" fontId="13" fillId="36" borderId="0" applyAlignment="1" pivotButton="0" quotePrefix="0" xfId="0">
      <alignment horizontal="center" vertical="center"/>
    </xf>
    <xf numFmtId="0" fontId="13" fillId="37" borderId="0" applyAlignment="1" pivotButton="0" quotePrefix="0" xfId="0">
      <alignment horizontal="center" vertical="center" wrapText="1"/>
    </xf>
    <xf numFmtId="164"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65" fontId="11" fillId="7" borderId="0" pivotButton="0" quotePrefix="0" xfId="47"/>
    <xf numFmtId="15" fontId="33" fillId="35" borderId="0" pivotButton="0" quotePrefix="0" xfId="0"/>
    <xf numFmtId="0" fontId="11" fillId="7" borderId="0" applyAlignment="1" pivotButton="0" quotePrefix="0" xfId="0">
      <alignment horizontal="left"/>
    </xf>
    <xf numFmtId="166" fontId="14" fillId="7" borderId="0" applyAlignment="1" pivotButton="0" quotePrefix="0" xfId="0">
      <alignment horizontal="left"/>
    </xf>
    <xf numFmtId="0" fontId="14" fillId="7" borderId="0" pivotButton="0" quotePrefix="0" xfId="0"/>
    <xf numFmtId="15" fontId="33" fillId="7" borderId="0" pivotButton="0" quotePrefix="0" xfId="0"/>
    <xf numFmtId="166" fontId="14" fillId="7" borderId="0" applyAlignment="1" pivotButton="0" quotePrefix="0" xfId="0">
      <alignment horizontal="left" vertical="center"/>
    </xf>
    <xf numFmtId="166" fontId="11" fillId="7" borderId="0" applyAlignment="1" pivotButton="0" quotePrefix="0" xfId="0">
      <alignment horizontal="left"/>
    </xf>
    <xf numFmtId="167" fontId="15" fillId="7" borderId="0" applyAlignment="1" pivotButton="0" quotePrefix="0" xfId="0">
      <alignment horizontal="left" vertical="center"/>
    </xf>
    <xf numFmtId="166" fontId="15" fillId="7" borderId="0" applyAlignment="1" pivotButton="0" quotePrefix="0" xfId="0">
      <alignment horizontal="left" vertical="center"/>
    </xf>
    <xf numFmtId="0" fontId="16" fillId="7" borderId="0" applyAlignment="1" pivotButton="0" quotePrefix="0" xfId="0">
      <alignment horizontal="left" vertical="center"/>
    </xf>
    <xf numFmtId="0" fontId="33" fillId="7" borderId="0" pivotButton="0" quotePrefix="0" xfId="0"/>
    <xf numFmtId="165" fontId="17" fillId="7" borderId="0" pivotButton="0" quotePrefix="0" xfId="47"/>
    <xf numFmtId="166" fontId="18" fillId="7" borderId="0" pivotButton="0" quotePrefix="0" xfId="0"/>
    <xf numFmtId="166" fontId="19" fillId="7" borderId="0" applyAlignment="1" pivotButton="0" quotePrefix="0" xfId="0">
      <alignment horizontal="left"/>
    </xf>
    <xf numFmtId="0" fontId="9" fillId="7" borderId="0" applyAlignment="1" pivotButton="0" quotePrefix="0" xfId="0">
      <alignment horizontal="center"/>
    </xf>
    <xf numFmtId="167" fontId="11" fillId="7" borderId="0" pivotButton="0" quotePrefix="0" xfId="0"/>
    <xf numFmtId="168" fontId="11" fillId="7" borderId="0" pivotButton="0" quotePrefix="0" xfId="30"/>
    <xf numFmtId="0" fontId="13" fillId="36" borderId="0" applyAlignment="1" pivotButton="0" quotePrefix="0" xfId="0">
      <alignment horizontal="center" vertical="center" wrapText="1"/>
    </xf>
    <xf numFmtId="0" fontId="13" fillId="36" borderId="0" applyAlignment="1" pivotButton="0" quotePrefix="0" xfId="0">
      <alignment vertical="center"/>
    </xf>
    <xf numFmtId="0" fontId="13" fillId="36" borderId="0" applyAlignment="1" pivotButton="0" quotePrefix="0" xfId="0">
      <alignment horizontal="centerContinuous" vertical="center"/>
    </xf>
    <xf numFmtId="0" fontId="34" fillId="35" borderId="0" applyAlignment="1" pivotButton="0" quotePrefix="0" xfId="0">
      <alignment horizontal="centerContinuous" vertical="center" wrapText="1"/>
    </xf>
    <xf numFmtId="3" fontId="32" fillId="35" borderId="0" applyAlignment="1" pivotButton="0" quotePrefix="0" xfId="47">
      <alignment horizontal="centerContinuous"/>
    </xf>
    <xf numFmtId="0" fontId="35" fillId="35" borderId="0" applyAlignment="1" pivotButton="0" quotePrefix="0" xfId="0">
      <alignment horizontal="centerContinuous" vertical="center" wrapText="1"/>
    </xf>
    <xf numFmtId="0" fontId="36" fillId="7" borderId="0" pivotButton="0" quotePrefix="0" xfId="0"/>
    <xf numFmtId="166" fontId="37" fillId="7" borderId="0" applyAlignment="1" pivotButton="0" quotePrefix="0" xfId="0">
      <alignment horizontal="center"/>
    </xf>
    <xf numFmtId="169" fontId="37" fillId="7" borderId="0" applyAlignment="1" pivotButton="0" quotePrefix="0" xfId="30">
      <alignment horizontal="center"/>
    </xf>
    <xf numFmtId="10" fontId="37" fillId="7" borderId="0" applyAlignment="1" pivotButton="0" quotePrefix="0" xfId="47">
      <alignment horizontal="center"/>
    </xf>
    <xf numFmtId="9" fontId="37" fillId="7" borderId="0" applyAlignment="1" pivotButton="0" quotePrefix="0" xfId="47">
      <alignment horizontal="center"/>
    </xf>
    <xf numFmtId="166" fontId="36" fillId="7" borderId="0" applyAlignment="1" pivotButton="0" quotePrefix="0" xfId="0">
      <alignment horizontal="center"/>
    </xf>
    <xf numFmtId="169" fontId="36" fillId="7" borderId="0" applyAlignment="1" pivotButton="0" quotePrefix="0" xfId="30">
      <alignment horizontal="center"/>
    </xf>
    <xf numFmtId="10" fontId="36" fillId="7" borderId="0" applyAlignment="1" pivotButton="0" quotePrefix="0" xfId="47">
      <alignment horizontal="center"/>
    </xf>
    <xf numFmtId="9" fontId="36" fillId="7" borderId="0" applyAlignment="1" pivotButton="0" quotePrefix="0" xfId="47">
      <alignment horizontal="center"/>
    </xf>
    <xf numFmtId="170" fontId="37" fillId="7" borderId="0" applyAlignment="1" pivotButton="0" quotePrefix="1" xfId="0">
      <alignment horizontal="centerContinuous"/>
    </xf>
    <xf numFmtId="165" fontId="37" fillId="7" borderId="0" applyAlignment="1" pivotButton="0" quotePrefix="0" xfId="47">
      <alignment horizontal="center"/>
    </xf>
    <xf numFmtId="0" fontId="36" fillId="35" borderId="0" pivotButton="0" quotePrefix="0" xfId="0"/>
    <xf numFmtId="170" fontId="36" fillId="7" borderId="0" applyAlignment="1" pivotButton="0" quotePrefix="1" xfId="0">
      <alignment horizontal="centerContinuous"/>
    </xf>
    <xf numFmtId="165" fontId="36" fillId="7" borderId="0" pivotButton="0" quotePrefix="0" xfId="47"/>
    <xf numFmtId="9" fontId="36" fillId="7" borderId="0" pivotButton="0" quotePrefix="0" xfId="47"/>
    <xf numFmtId="15" fontId="36" fillId="35" borderId="0" pivotButton="0" quotePrefix="0" xfId="0"/>
    <xf numFmtId="3" fontId="37" fillId="35" borderId="0" applyAlignment="1" pivotButton="0" quotePrefix="0" xfId="47">
      <alignment horizontal="centerContinuous"/>
    </xf>
    <xf numFmtId="0" fontId="31"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0" fontId="38" fillId="7" borderId="0" applyAlignment="1" pivotButton="0" quotePrefix="0" xfId="0">
      <alignment horizontal="centerContinuous"/>
    </xf>
    <xf numFmtId="0" fontId="39" fillId="7" borderId="0" pivotButton="0" quotePrefix="0" xfId="0"/>
    <xf numFmtId="0" fontId="39" fillId="7" borderId="0" applyAlignment="1" pivotButton="0" quotePrefix="0" xfId="0">
      <alignment horizontal="centerContinuous"/>
    </xf>
    <xf numFmtId="0" fontId="40" fillId="7" borderId="0" applyAlignment="1" pivotButton="0" quotePrefix="0" xfId="0">
      <alignment horizontal="centerContinuous"/>
    </xf>
    <xf numFmtId="0" fontId="41" fillId="7" borderId="0" pivotButton="0" quotePrefix="0" xfId="0"/>
    <xf numFmtId="0" fontId="42" fillId="7" borderId="0" applyAlignment="1" pivotButton="0" quotePrefix="0" xfId="0">
      <alignment horizontal="centerContinuous"/>
    </xf>
    <xf numFmtId="0" fontId="20" fillId="7" borderId="0" applyAlignment="1" pivotButton="0" quotePrefix="0" xfId="0">
      <alignment horizontal="justify" vertical="justify" wrapText="1"/>
    </xf>
    <xf numFmtId="0" fontId="10" fillId="7" borderId="0" pivotButton="0" quotePrefix="0" xfId="0"/>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H46"/>
  <sheetViews>
    <sheetView showGridLines="0" tabSelected="1" view="pageBreakPreview" topLeftCell="A24" zoomScaleNormal="100" zoomScaleSheetLayoutView="100" workbookViewId="0">
      <selection activeCell="H31" sqref="H31"/>
    </sheetView>
  </sheetViews>
  <sheetFormatPr baseColWidth="8" defaultColWidth="9.140625" defaultRowHeight="12.75"/>
  <cols>
    <col width="13.42578125" customWidth="1" style="63" min="1" max="1"/>
    <col width="18.7109375" customWidth="1" style="63" min="2" max="6"/>
    <col width="5.42578125" customWidth="1" style="63" min="7" max="7"/>
    <col width="23.140625" bestFit="1" customWidth="1" style="63" min="8" max="8"/>
    <col width="23.42578125" bestFit="1" customWidth="1" style="63" min="9" max="9"/>
    <col width="9.140625" customWidth="1" style="63" min="10" max="18"/>
    <col width="9.140625" customWidth="1" style="63" min="19" max="16384"/>
  </cols>
  <sheetData>
    <row r="1" hidden="1">
      <c r="A1" s="1">
        <f>DataAnálise</f>
        <v/>
      </c>
    </row>
    <row r="2" hidden="1"/>
    <row r="3" hidden="1"/>
    <row r="4" hidden="1"/>
    <row r="5" hidden="1"/>
    <row r="7" ht="12.75" customHeight="1">
      <c r="A7" s="1" t="n"/>
      <c r="B7" s="3" t="n"/>
      <c r="C7" s="4" t="n"/>
      <c r="D7" s="4" t="n"/>
      <c r="E7" s="5" t="n"/>
      <c r="F7" s="5" t="n"/>
      <c r="G7" s="4" t="n"/>
    </row>
    <row r="8" ht="12.75" customHeight="1">
      <c r="A8" s="4" t="n"/>
      <c r="B8" s="4" t="n"/>
      <c r="C8" s="4" t="n"/>
      <c r="D8" s="4" t="n"/>
      <c r="E8" s="4" t="n"/>
      <c r="F8" s="4" t="n"/>
      <c r="G8" s="4" t="n"/>
    </row>
    <row r="9" ht="12.75" customHeight="1">
      <c r="A9" s="4" t="n"/>
      <c r="B9" s="4" t="n"/>
      <c r="C9" s="4" t="n"/>
      <c r="D9" s="4" t="n"/>
      <c r="E9" s="4" t="n"/>
      <c r="F9" s="4" t="n"/>
      <c r="G9" s="4" t="n"/>
    </row>
    <row r="10" ht="12.75" customHeight="1">
      <c r="A10" s="4" t="n"/>
      <c r="B10" s="4" t="n"/>
      <c r="C10" s="6" t="n"/>
      <c r="D10" s="6" t="n"/>
      <c r="E10" s="6" t="n"/>
      <c r="F10" s="6" t="n"/>
      <c r="G10" s="4" t="n"/>
    </row>
    <row r="11" ht="15.95" customHeight="1">
      <c r="A11" s="4" t="n"/>
      <c r="B11" s="53" t="inlineStr">
        <is>
          <t>CAPITÂNIA PREV ADVISORY XP SEG FIFE FIF RF CP RL</t>
        </is>
      </c>
      <c r="C11" s="54" t="n"/>
      <c r="D11" s="55" t="n"/>
      <c r="E11" s="55" t="n"/>
      <c r="F11" s="55" t="n"/>
      <c r="G11" s="4" t="n"/>
    </row>
    <row r="12" ht="15.95" customHeight="1">
      <c r="A12" s="4" t="n"/>
      <c r="B12" s="53" t="inlineStr">
        <is>
          <t>CNPJ 41.672.242/0001-09</t>
        </is>
      </c>
      <c r="C12" s="54" t="n"/>
      <c r="D12" s="55" t="n"/>
      <c r="E12" s="55" t="n"/>
      <c r="F12" s="55" t="n"/>
      <c r="G12" s="4" t="n"/>
    </row>
    <row r="13" ht="15.95" customFormat="1" customHeight="1" s="60">
      <c r="A13" s="57" t="n"/>
      <c r="B13" s="56" t="inlineStr">
        <is>
          <t>Administrador: BNY Mellon</t>
        </is>
      </c>
      <c r="C13" s="58" t="n"/>
      <c r="D13" s="59" t="n"/>
      <c r="E13" s="59" t="n"/>
      <c r="F13" s="59" t="n"/>
      <c r="G13" s="57" t="n"/>
    </row>
    <row r="14" ht="15.95" customFormat="1" customHeight="1" s="60">
      <c r="A14" s="57" t="n"/>
      <c r="B14" s="56" t="inlineStr">
        <is>
          <t>Cotização de Resgates: D+5 d.u</t>
        </is>
      </c>
      <c r="C14" s="58" t="n"/>
      <c r="D14" s="59" t="n"/>
      <c r="E14" s="59" t="n"/>
      <c r="F14" s="59" t="n"/>
      <c r="G14" s="57" t="n"/>
    </row>
    <row r="15" ht="15.95" customFormat="1" customHeight="1" s="60">
      <c r="A15" s="57" t="n"/>
      <c r="B15" s="56" t="inlineStr">
        <is>
          <t>Pagamento de Resgates: D+1 d.u</t>
        </is>
      </c>
      <c r="C15" s="58" t="n"/>
      <c r="D15" s="59" t="n"/>
      <c r="E15" s="59" t="n"/>
      <c r="F15" s="59" t="n"/>
      <c r="G15" s="57" t="n"/>
    </row>
    <row r="16" ht="15.95" customFormat="1" customHeight="1" s="60">
      <c r="A16" s="57" t="n"/>
      <c r="B16" s="61" t="n"/>
      <c r="C16" s="58" t="n"/>
      <c r="D16" s="59" t="n"/>
      <c r="E16" s="59" t="n"/>
      <c r="F16" s="59" t="n"/>
      <c r="G16" s="57" t="n"/>
    </row>
    <row r="17" ht="26.1" customHeight="1">
      <c r="A17" s="4" t="n"/>
      <c r="B17" s="7" t="inlineStr">
        <is>
          <t>Data</t>
        </is>
      </c>
      <c r="C17" s="30" t="inlineStr">
        <is>
          <t>Cota</t>
        </is>
      </c>
      <c r="D17" s="30" t="inlineStr">
        <is>
          <t>Retorno</t>
        </is>
      </c>
      <c r="E17" s="8" t="inlineStr">
        <is>
          <t>CDI</t>
        </is>
      </c>
      <c r="F17" s="8" t="inlineStr">
        <is>
          <t>% CDI</t>
        </is>
      </c>
      <c r="G17" s="4" t="n"/>
    </row>
    <row r="18" ht="15.95" customFormat="1" customHeight="1" s="36">
      <c r="B18" s="37" t="inlineStr">
        <is>
          <t>2026-03-26</t>
        </is>
      </c>
      <c r="C18" s="38" t="n">
        <v>1.48070715</v>
      </c>
      <c r="D18" s="39" t="n">
        <v>-0.0001335737304843931</v>
      </c>
      <c r="E18" s="39" t="n">
        <v>0.0005426623598601132</v>
      </c>
      <c r="F18" s="40" t="n">
        <v>-0.246145191494073</v>
      </c>
    </row>
    <row r="19" ht="15.95" customFormat="1" customHeight="1" s="36">
      <c r="B19" s="41" t="inlineStr">
        <is>
          <t>2026-03-25</t>
        </is>
      </c>
      <c r="C19" s="42" t="n">
        <v>1.48090496</v>
      </c>
      <c r="D19" s="43" t="n">
        <v>-0.01640995831867686</v>
      </c>
      <c r="E19" s="43" t="n">
        <v>0.0005426623598601132</v>
      </c>
      <c r="F19" s="44" t="n">
        <v>-30.23972092500943</v>
      </c>
    </row>
    <row r="20" ht="15.95" customFormat="1" customHeight="1" s="36">
      <c r="B20" s="41" t="inlineStr">
        <is>
          <t>2026-03-24</t>
        </is>
      </c>
      <c r="C20" s="42" t="n">
        <v>1.50561199</v>
      </c>
      <c r="D20" s="43" t="n">
        <v>-0.0006425082059035025</v>
      </c>
      <c r="E20" s="43" t="n">
        <v>0.0005426623598601132</v>
      </c>
      <c r="F20" s="44" t="n">
        <v>-1.183992577021792</v>
      </c>
    </row>
    <row r="21" ht="15.95" customFormat="1" customHeight="1" s="36">
      <c r="B21" s="41" t="inlineStr">
        <is>
          <t>2026-03-23</t>
        </is>
      </c>
      <c r="C21" s="42" t="n">
        <v>1.50657998</v>
      </c>
      <c r="D21" s="43" t="n">
        <v>0.0005306482362568143</v>
      </c>
      <c r="E21" s="43" t="n">
        <v>0.0005426623598601132</v>
      </c>
      <c r="F21" s="44" t="n">
        <v>0.977860775885772</v>
      </c>
    </row>
    <row r="22" ht="15.95" customFormat="1" customHeight="1" s="36">
      <c r="B22" s="41" t="inlineStr">
        <is>
          <t>2026-03-20</t>
        </is>
      </c>
      <c r="C22" s="42" t="n">
        <v>1.50578094</v>
      </c>
      <c r="D22" s="43" t="n">
        <v>0.001483888289329993</v>
      </c>
      <c r="E22" s="43" t="n">
        <v>0.0005426623598601132</v>
      </c>
      <c r="F22" s="44" t="n">
        <v>2.734459581299333</v>
      </c>
    </row>
    <row r="23" ht="15.95" customHeight="1">
      <c r="A23" s="4" t="n"/>
      <c r="B23" s="9" t="n"/>
      <c r="C23" s="10" t="n"/>
      <c r="D23" s="11" t="n"/>
      <c r="E23" s="11" t="n"/>
      <c r="F23" s="11" t="n"/>
      <c r="G23" s="4" t="n"/>
    </row>
    <row r="24" ht="26.1" customHeight="1">
      <c r="A24" s="4" t="n"/>
      <c r="B24" s="32" t="inlineStr">
        <is>
          <t>Referência</t>
        </is>
      </c>
      <c r="C24" s="32" t="n"/>
      <c r="D24" s="30" t="inlineStr">
        <is>
          <t>Retorno</t>
        </is>
      </c>
      <c r="E24" s="8" t="inlineStr">
        <is>
          <t>CDI</t>
        </is>
      </c>
      <c r="F24" s="8" t="inlineStr">
        <is>
          <t>% CDI</t>
        </is>
      </c>
      <c r="G24" s="4" t="n"/>
    </row>
    <row r="25" ht="15.95" customFormat="1" customHeight="1" s="36">
      <c r="B25" s="45" t="inlineStr">
        <is>
          <t>Mar-26</t>
        </is>
      </c>
      <c r="C25" s="45" t="inlineStr"/>
      <c r="D25" s="39" t="n">
        <v>-0.02361650384125624</v>
      </c>
      <c r="E25" s="39" t="n">
        <v>0.01048336746569301</v>
      </c>
      <c r="F25" s="40" t="n">
        <v>-2.252759327433827</v>
      </c>
      <c r="G25" s="46" t="n"/>
    </row>
    <row r="26" ht="15.95" customFormat="1" customHeight="1" s="36">
      <c r="A26" s="47" t="n"/>
      <c r="B26" s="48" t="inlineStr">
        <is>
          <t>Últimos 30 dias</t>
        </is>
      </c>
      <c r="C26" s="48" t="inlineStr"/>
      <c r="D26" s="43" t="n">
        <v>-0.01779624285096504</v>
      </c>
      <c r="E26" s="43" t="n">
        <v>0.01159785506263344</v>
      </c>
      <c r="F26" s="44" t="n">
        <v>-1.534442597778435</v>
      </c>
      <c r="G26" s="49" t="n"/>
      <c r="H26" s="50" t="n"/>
    </row>
    <row r="27" ht="15.95" customFormat="1" customHeight="1" s="36">
      <c r="A27" s="47" t="n"/>
      <c r="B27" s="48" t="inlineStr">
        <is>
          <t>Últimos 90 dias</t>
        </is>
      </c>
      <c r="C27" s="48" t="inlineStr"/>
      <c r="D27" s="43" t="n">
        <v>-0.0006187265328008174</v>
      </c>
      <c r="E27" s="43" t="n">
        <v>0.03528813776398843</v>
      </c>
      <c r="F27" s="44" t="n">
        <v>-0.01753355580673992</v>
      </c>
      <c r="G27" s="49" t="n"/>
    </row>
    <row r="28" ht="15.95" customFormat="1" customHeight="1" s="36">
      <c r="A28" s="51" t="n"/>
      <c r="B28" s="48" t="inlineStr">
        <is>
          <t>Últimos 180 dias</t>
        </is>
      </c>
      <c r="C28" s="48" t="inlineStr"/>
      <c r="D28" s="43" t="n">
        <v>0.01641161507602362</v>
      </c>
      <c r="E28" s="43" t="n">
        <v>0.07186785093087189</v>
      </c>
      <c r="F28" s="44" t="n">
        <v>0.2283582278230303</v>
      </c>
      <c r="G28" s="49" t="n"/>
    </row>
    <row r="29" ht="15.95" customFormat="1" customHeight="1" s="36">
      <c r="A29" s="51" t="n"/>
      <c r="B29" s="48" t="inlineStr">
        <is>
          <t>Últimos 360 dias</t>
        </is>
      </c>
      <c r="C29" s="48" t="inlineStr"/>
      <c r="D29" s="43" t="n">
        <v>0.07842596657147638</v>
      </c>
      <c r="E29" s="43" t="n">
        <v>0.1478169439809287</v>
      </c>
      <c r="F29" s="44" t="n">
        <v>0.5305614123749904</v>
      </c>
      <c r="G29" s="49" t="n"/>
    </row>
    <row r="30" ht="15.95" customFormat="1" customHeight="1" s="36">
      <c r="A30" s="51" t="n"/>
      <c r="B30" s="48" t="inlineStr">
        <is>
          <t>Ano 2026</t>
        </is>
      </c>
      <c r="C30" s="48" t="inlineStr"/>
      <c r="D30" s="43" t="n">
        <v>-0.006286584451142607</v>
      </c>
      <c r="E30" s="43" t="n">
        <v>0.03243902489712824</v>
      </c>
      <c r="F30" s="44" t="n">
        <v>-0.1937969612551191</v>
      </c>
      <c r="G30" s="49" t="n"/>
    </row>
    <row r="31" ht="15.95" customFormat="1" customHeight="1" s="36">
      <c r="A31" s="51" t="n"/>
      <c r="B31" s="48" t="inlineStr">
        <is>
          <t>Ano 2025</t>
        </is>
      </c>
      <c r="C31" s="48" t="inlineStr"/>
      <c r="D31" s="43" t="n">
        <v>0.1136800096886805</v>
      </c>
      <c r="E31" s="43" t="n">
        <v>0.143132751155109</v>
      </c>
      <c r="F31" s="44" t="n">
        <v>0.794227797420652</v>
      </c>
      <c r="G31" s="49" t="n"/>
    </row>
    <row r="32" ht="15.95" customFormat="1" customHeight="1" s="36">
      <c r="A32" s="51" t="n"/>
      <c r="B32" s="48" t="inlineStr">
        <is>
          <t>Ano 2024</t>
        </is>
      </c>
      <c r="C32" s="48" t="inlineStr"/>
      <c r="D32" s="43" t="n">
        <v>0.06718693236037376</v>
      </c>
      <c r="E32" s="43" t="n">
        <v>0.1092049264357533</v>
      </c>
      <c r="F32" s="44" t="n">
        <v>0.6152371926178689</v>
      </c>
      <c r="G32" s="49" t="n"/>
    </row>
    <row r="33" ht="15.95" customFormat="1" customHeight="1" s="36">
      <c r="A33" s="51" t="n"/>
      <c r="B33" s="48" t="inlineStr">
        <is>
          <t>Acumulado²</t>
        </is>
      </c>
      <c r="C33" s="48" t="inlineStr"/>
      <c r="D33" s="43" t="n">
        <v>0.48070715</v>
      </c>
      <c r="E33" s="43" t="n">
        <v>0.6693805698288893</v>
      </c>
      <c r="F33" s="44" t="n">
        <v>0.7181372923968812</v>
      </c>
      <c r="G33" s="49" t="n"/>
    </row>
    <row r="34" ht="15.95" customHeight="1">
      <c r="A34" s="13" t="n"/>
      <c r="B34" s="14" t="n"/>
      <c r="C34" s="10" t="n"/>
      <c r="D34" s="10" t="n"/>
      <c r="E34" s="10" t="n"/>
      <c r="F34" s="10" t="n"/>
      <c r="G34" s="4" t="n"/>
    </row>
    <row r="35" ht="26.1" customHeight="1">
      <c r="A35" s="13" t="n"/>
      <c r="B35" s="31" t="inlineStr">
        <is>
          <t>Patrimônio Líquido (R$)</t>
        </is>
      </c>
      <c r="C35" s="31" t="n"/>
      <c r="D35" s="31" t="n"/>
      <c r="E35" s="31" t="n"/>
      <c r="F35" s="31" t="n"/>
      <c r="G35" s="4" t="n"/>
    </row>
    <row r="36" ht="15.95" customHeight="1">
      <c r="A36" s="17" t="n"/>
      <c r="B36" s="15" t="inlineStr">
        <is>
          <t>Hoje¹</t>
        </is>
      </c>
      <c r="C36" s="16" t="n"/>
      <c r="D36" s="16" t="n"/>
      <c r="E36" s="52" t="n">
        <v>790418761.73</v>
      </c>
      <c r="F36" s="34" t="n"/>
      <c r="G36" s="4" t="n"/>
    </row>
    <row r="37" ht="15.95" customHeight="1">
      <c r="A37" s="17" t="n"/>
      <c r="B37" s="18" t="inlineStr">
        <is>
          <t>Últimos 12 Meses (Média Diária)¹</t>
        </is>
      </c>
      <c r="C37" s="16" t="n"/>
      <c r="D37" s="16" t="n"/>
      <c r="E37" s="52" t="n">
        <v>1070554035.112738</v>
      </c>
      <c r="F37" s="34" t="n"/>
      <c r="G37" s="4" t="n"/>
    </row>
    <row r="38" ht="15.95" customHeight="1">
      <c r="A38" s="17" t="n"/>
      <c r="B38" s="19" t="n"/>
      <c r="C38" s="4" t="n"/>
      <c r="D38" s="4" t="n"/>
      <c r="E38" s="4" t="n"/>
      <c r="F38" s="4" t="n"/>
      <c r="G38" s="4" t="n"/>
    </row>
    <row r="39" ht="15.95" customHeight="1">
      <c r="A39" s="23" t="n"/>
      <c r="B39" s="20" t="inlineStr">
        <is>
          <t>¹Data de Referência:</t>
        </is>
      </c>
      <c r="C39" s="21" t="inlineStr">
        <is>
          <t>2026-03-26</t>
        </is>
      </c>
      <c r="D39" s="22" t="n"/>
      <c r="E39" s="22" t="n"/>
      <c r="F39" s="22" t="n"/>
      <c r="G39" s="4" t="n"/>
    </row>
    <row r="40" ht="15.95" customHeight="1">
      <c r="B40" s="21" t="inlineStr">
        <is>
          <t xml:space="preserve">²Cota Inicial em: </t>
        </is>
      </c>
      <c r="C40" s="21" t="inlineStr">
        <is>
          <t>2021-12-16</t>
        </is>
      </c>
      <c r="D40" s="24" t="n"/>
      <c r="E40" s="24" t="n"/>
      <c r="F40" s="24" t="n"/>
      <c r="G40" s="4" t="n"/>
    </row>
    <row r="41" ht="15.95" customHeight="1">
      <c r="B41" s="25" t="n"/>
      <c r="C41" s="26" t="n"/>
      <c r="D41" s="24" t="n"/>
      <c r="E41" s="24" t="n"/>
      <c r="F41" s="24" t="n"/>
      <c r="G41" s="4" t="n"/>
    </row>
    <row r="42" ht="47.25" customHeight="1">
      <c r="A42" s="4" t="n"/>
      <c r="B42" s="35"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C42" s="33" t="n"/>
      <c r="D42" s="33" t="n"/>
      <c r="E42" s="33" t="n"/>
      <c r="F42" s="33" t="n"/>
      <c r="G42" s="4" t="n"/>
    </row>
    <row r="43">
      <c r="A43" s="4" t="n"/>
      <c r="B43" s="62" t="n"/>
      <c r="G43" s="4" t="n"/>
    </row>
    <row r="44">
      <c r="A44" s="4" t="n"/>
      <c r="B44" s="27" t="n"/>
      <c r="C44" s="27" t="n"/>
      <c r="D44" s="27" t="n"/>
      <c r="E44" s="27" t="n"/>
      <c r="F44" s="27" t="n"/>
      <c r="G44" s="4" t="n"/>
    </row>
    <row r="45">
      <c r="A45" s="4" t="n"/>
      <c r="B45" s="28" t="n"/>
      <c r="C45" s="29" t="n"/>
      <c r="D45" s="12" t="n"/>
      <c r="E45" s="12" t="n"/>
      <c r="F45" s="12" t="n"/>
      <c r="G45" s="4" t="n"/>
    </row>
    <row r="46">
      <c r="B46" s="28" t="n"/>
      <c r="C46" s="29" t="n"/>
      <c r="D46" s="12" t="n"/>
      <c r="E46" s="12" t="n"/>
      <c r="F46" s="12" t="n"/>
    </row>
  </sheetData>
  <mergeCells count="1">
    <mergeCell ref="B43:F43"/>
  </mergeCells>
  <printOptions horizontalCentered="1" verticalCentered="1"/>
  <pageMargins left="0.5" right="0.5" top="0.5" bottom="0.5" header="0.5" footer="0.5"/>
  <pageSetup orientation="landscape" paperSize="9" scale="84"/>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gabriel</dc:creator>
  <dcterms:created xsi:type="dcterms:W3CDTF">2007-06-29T23:36:13Z</dcterms:created>
  <dcterms:modified xsi:type="dcterms:W3CDTF">2026-03-27T18:24:38Z</dcterms:modified>
  <cp:lastModifiedBy>Lucieli Cristina de Castilho Andrade</cp:lastModifiedBy>
  <cp:lastPrinted>2025-04-22T16:50:26Z</cp:lastPrinted>
</cp:coreProperties>
</file>
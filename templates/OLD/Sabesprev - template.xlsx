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C4F46C3B-2D94-4048-8C47-0C5B1AD14D78}" xr6:coauthVersionLast="47" xr6:coauthVersionMax="47" xr10:uidLastSave="{00000000-0000-0000-0000-000000000000}"/>
  <bookViews>
    <workbookView xWindow="-120" yWindow="-120" windowWidth="20730" windowHeight="11040" tabRatio="711" xr2:uid="{00000000-000D-0000-FFFF-FFFF00000000}"/>
  </bookViews>
  <sheets>
    <sheet name="Email" sheetId="2" r:id="rId1"/>
  </sheets>
  <definedNames>
    <definedName name="DataAnálise">Email!$A$8</definedName>
    <definedName name="_xlnm.Print_Area" localSheetId="0">Email!$B$8:$E$51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2" l="1"/>
  <c r="E39" i="2"/>
  <c r="E38" i="2"/>
  <c r="E37" i="2"/>
  <c r="C40" i="2"/>
  <c r="C39" i="2" l="1"/>
  <c r="C38" i="2"/>
  <c r="C37" i="2"/>
</calcChain>
</file>

<file path=xl/sharedStrings.xml><?xml version="1.0" encoding="utf-8"?>
<sst xmlns="http://schemas.openxmlformats.org/spreadsheetml/2006/main" count="32" uniqueCount="25">
  <si>
    <t>Data</t>
  </si>
  <si>
    <t>Patrimônio Líquido (R$)</t>
  </si>
  <si>
    <t>Retorno</t>
  </si>
  <si>
    <t>Cota</t>
  </si>
  <si>
    <t xml:space="preserve"> </t>
  </si>
  <si>
    <t>Ano 2019</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</si>
  <si>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</si>
  <si>
    <t>Referência</t>
  </si>
  <si>
    <t>IFIX</t>
  </si>
  <si>
    <t>Ano 2018</t>
  </si>
  <si>
    <t>SABESPREV CAPITÂNIA IMOB CP FIM</t>
  </si>
  <si>
    <t>Ano 2020</t>
  </si>
  <si>
    <t>Últimos 30 dias</t>
  </si>
  <si>
    <t>Últimos 90 dias</t>
  </si>
  <si>
    <t>Últimos 180 dias</t>
  </si>
  <si>
    <t>Últimos 360 dias</t>
  </si>
  <si>
    <t>Acumulado²</t>
  </si>
  <si>
    <t>Hoje¹</t>
  </si>
  <si>
    <t>Últimos 12 Meses (Média Diária)¹</t>
  </si>
  <si>
    <t>¹Data de Referência:</t>
  </si>
  <si>
    <t xml:space="preserve">²Cota Inicial em: </t>
  </si>
  <si>
    <t>Ano 2021</t>
  </si>
  <si>
    <t>Ano 2022</t>
  </si>
  <si>
    <t>Ano 2023</t>
  </si>
  <si>
    <t>Ano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</si>
</sst>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0000000_);_(* \(#,##0.0000000\);_(* &quot;-&quot;??_);_(@_)"/>
    <numFmt numFmtId="165" formatCode="0.000%"/>
    <numFmt numFmtId="166" formatCode="0.0000%"/>
    <numFmt numFmtId="167" formatCode="[$-416]d\-mmm\-yy;@"/>
    <numFmt numFmtId="168" formatCode="#,##0.0000000"/>
    <numFmt numFmtId="169" formatCode="[$-416]mmmm\-yy;@"/>
    <numFmt numFmtId="170" formatCode="[$-409]dd\-mmm\-yy;@"/>
    <numFmt numFmtId="171" formatCode="_([$€]* #,##0.00_);_([$€]* \(#,##0.00\);_([$€]* &quot;-&quot;??_);_(@_)"/>
    <numFmt numFmtId="172" formatCode="[$-409]mmm\-yy;@"/>
    <numFmt numFmtId="173" formatCode="#,##0.00000000"/>
    <numFmt numFmtId="174" formatCode="_([$€-2]* #,##0.00_);_([$€-2]* \(#,##0.00\);_([$€-2]* &quot;-&quot;??_)"/>
  </numFmts>
  <fonts count="46" x14ac:knownFonts="1">
    <font>
      <sz val="10"/>
      <name val="Arial"/>
    </font>
    <font>
      <sz val="10"/>
      <name val="Arial"/>
      <family val="2"/>
    </font>
    <font>
      <sz val="8"/>
      <name val="Arial"/>
      <family val="2"/>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i/>
      <vertAlign val="superscript"/>
      <sz val="8"/>
      <name val="Verdana"/>
      <family val="2"/>
    </font>
    <font>
      <i/>
      <sz val="8"/>
      <name val="Verdana"/>
      <family val="2"/>
    </font>
    <font>
      <sz val="8"/>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rgb="FF1B51A3"/>
      <name val="Verdana"/>
      <family val="2"/>
    </font>
    <font>
      <b/>
      <i/>
      <sz val="10"/>
      <color rgb="FF1B51A3"/>
      <name val="Verdana"/>
      <family val="2"/>
    </font>
    <font>
      <sz val="10"/>
      <color theme="0"/>
      <name val="Verdana"/>
      <family val="2"/>
    </font>
    <font>
      <sz val="10"/>
      <color rgb="FFFF0000"/>
      <name val="Verdana"/>
      <family val="2"/>
    </font>
    <font>
      <b/>
      <sz val="10"/>
      <color rgb="FF003366"/>
      <name val="Verdana"/>
      <family val="2"/>
    </font>
    <font>
      <sz val="10"/>
      <color rgb="FF003366"/>
      <name val="Verdana"/>
      <family val="2"/>
    </font>
    <font>
      <b/>
      <sz val="12"/>
      <color rgb="FF003366"/>
      <name val="Verdana"/>
      <family val="2"/>
    </font>
    <font>
      <i/>
      <sz val="8"/>
      <color rgb="FF003366"/>
      <name val="Verdana"/>
      <family val="2"/>
    </font>
    <font>
      <sz val="8"/>
      <color rgb="FF003366"/>
      <name val="Verdana"/>
      <family val="2"/>
    </font>
    <font>
      <sz val="7"/>
      <color theme="1" tint="0.499984740745262"/>
      <name val="Verdana"/>
      <family val="2"/>
    </font>
  </fonts>
  <fills count="41">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7">
    <xf numFmtId="0" fontId="0" fillId="0" borderId="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3" fillId="2" borderId="0" applyNumberFormat="0" applyBorder="0" applyAlignment="0" applyProtection="0"/>
    <xf numFmtId="0" fontId="23" fillId="33" borderId="5" applyNumberFormat="0" applyAlignment="0" applyProtection="0"/>
    <xf numFmtId="0" fontId="7" fillId="4" borderId="2" applyNumberFormat="0" applyAlignment="0" applyProtection="0"/>
    <xf numFmtId="0" fontId="6" fillId="0" borderId="3" applyNumberFormat="0" applyFill="0" applyAlignment="0" applyProtection="0"/>
    <xf numFmtId="0" fontId="24" fillId="34" borderId="6" applyNumberFormat="0" applyAlignment="0" applyProtection="0"/>
    <xf numFmtId="43" fontId="1" fillId="0" borderId="0" applyFont="0" applyFill="0" applyBorder="0" applyAlignment="0" applyProtection="0"/>
    <xf numFmtId="43" fontId="9" fillId="0" borderId="0" applyFont="0" applyFill="0" applyBorder="0" applyAlignment="0" applyProtection="0"/>
    <xf numFmtId="0" fontId="5" fillId="3" borderId="1" applyNumberFormat="0" applyAlignment="0" applyProtection="0"/>
    <xf numFmtId="171" fontId="1" fillId="0" borderId="0" applyFont="0" applyFill="0" applyBorder="0" applyAlignment="0" applyProtection="0"/>
    <xf numFmtId="174" fontId="9" fillId="0" borderId="0" applyFont="0" applyFill="0" applyBorder="0" applyAlignment="0" applyProtection="0"/>
    <xf numFmtId="0" fontId="25" fillId="0" borderId="0" applyNumberFormat="0" applyFill="0" applyBorder="0" applyAlignment="0" applyProtection="0"/>
    <xf numFmtId="0" fontId="26" fillId="35" borderId="0" applyNumberFormat="0" applyBorder="0" applyAlignment="0" applyProtection="0"/>
    <xf numFmtId="0" fontId="27" fillId="0" borderId="7" applyNumberFormat="0" applyFill="0" applyAlignment="0" applyProtection="0"/>
    <xf numFmtId="0" fontId="28" fillId="0" borderId="8" applyNumberFormat="0" applyFill="0" applyAlignment="0" applyProtection="0"/>
    <xf numFmtId="0" fontId="29" fillId="0" borderId="9" applyNumberFormat="0" applyFill="0" applyAlignment="0" applyProtection="0"/>
    <xf numFmtId="0" fontId="29" fillId="0" borderId="0" applyNumberFormat="0" applyFill="0" applyBorder="0" applyAlignment="0" applyProtection="0"/>
    <xf numFmtId="0" fontId="30" fillId="36" borderId="5" applyNumberFormat="0" applyAlignment="0" applyProtection="0"/>
    <xf numFmtId="0" fontId="31" fillId="0" borderId="10" applyNumberFormat="0" applyFill="0" applyAlignment="0" applyProtection="0"/>
    <xf numFmtId="0" fontId="4" fillId="5" borderId="0" applyNumberFormat="0" applyBorder="0" applyAlignment="0" applyProtection="0"/>
    <xf numFmtId="0" fontId="20" fillId="0" borderId="0"/>
    <xf numFmtId="0" fontId="9" fillId="0" borderId="0"/>
    <xf numFmtId="0" fontId="1" fillId="6" borderId="4" applyNumberFormat="0" applyFont="0" applyAlignment="0" applyProtection="0"/>
    <xf numFmtId="0" fontId="10" fillId="37" borderId="11" applyNumberFormat="0" applyFont="0" applyAlignment="0" applyProtection="0"/>
    <xf numFmtId="0" fontId="20" fillId="37" borderId="11" applyNumberFormat="0" applyFont="0" applyAlignment="0" applyProtection="0"/>
    <xf numFmtId="0" fontId="32" fillId="33" borderId="12" applyNumberFormat="0" applyAlignment="0" applyProtection="0"/>
    <xf numFmtId="9" fontId="1" fillId="0" borderId="0" applyFont="0" applyFill="0" applyBorder="0" applyAlignment="0" applyProtection="0"/>
    <xf numFmtId="9" fontId="9" fillId="0" borderId="0" applyFont="0" applyFill="0" applyBorder="0" applyAlignment="0" applyProtection="0"/>
    <xf numFmtId="0" fontId="8" fillId="0" borderId="0" applyNumberFormat="0" applyFill="0" applyBorder="0" applyAlignment="0" applyProtection="0"/>
    <xf numFmtId="0" fontId="33" fillId="0" borderId="0" applyNumberFormat="0" applyFill="0" applyBorder="0" applyAlignment="0" applyProtection="0"/>
    <xf numFmtId="0" fontId="34" fillId="0" borderId="13" applyNumberFormat="0" applyFill="0" applyAlignment="0" applyProtection="0"/>
    <xf numFmtId="0" fontId="35" fillId="0" borderId="0" applyNumberFormat="0" applyFill="0" applyBorder="0" applyAlignment="0" applyProtection="0"/>
  </cellStyleXfs>
  <cellXfs count="56">
    <xf numFmtId="0" fontId="0" fillId="0" borderId="0" xfId="0"/>
    <xf numFmtId="15" fontId="11" fillId="7" borderId="0" xfId="0" quotePrefix="1" applyNumberFormat="1" applyFont="1" applyFill="1" applyAlignment="1">
      <alignment horizontal="left"/>
    </xf>
    <xf numFmtId="0" fontId="12" fillId="7" borderId="0" xfId="0" applyFont="1" applyFill="1"/>
    <xf numFmtId="0" fontId="12" fillId="0" borderId="0" xfId="0" applyFont="1"/>
    <xf numFmtId="0" fontId="13" fillId="7" borderId="0" xfId="0" applyFont="1" applyFill="1"/>
    <xf numFmtId="0" fontId="11" fillId="7" borderId="0" xfId="0" applyFont="1" applyFill="1"/>
    <xf numFmtId="0" fontId="14" fillId="7" borderId="0" xfId="0" applyFont="1" applyFill="1" applyAlignment="1">
      <alignment horizontal="center"/>
    </xf>
    <xf numFmtId="0" fontId="36" fillId="7" borderId="0" xfId="0" applyFont="1" applyFill="1"/>
    <xf numFmtId="0" fontId="37" fillId="7" borderId="0" xfId="0" applyFont="1" applyFill="1" applyAlignment="1">
      <alignment horizontal="center"/>
    </xf>
    <xf numFmtId="166" fontId="13" fillId="7" borderId="0" xfId="51" applyNumberFormat="1" applyFont="1" applyFill="1"/>
    <xf numFmtId="0" fontId="15" fillId="39" borderId="0" xfId="0" applyFont="1" applyFill="1" applyAlignment="1">
      <alignment horizontal="center" vertical="center"/>
    </xf>
    <xf numFmtId="0" fontId="15" fillId="39" borderId="0" xfId="0" applyFont="1" applyFill="1" applyAlignment="1">
      <alignment horizontal="center" vertical="center" wrapText="1"/>
    </xf>
    <xf numFmtId="0" fontId="15" fillId="40" borderId="0" xfId="0" applyFont="1" applyFill="1" applyAlignment="1">
      <alignment horizontal="center" vertical="center" wrapText="1"/>
    </xf>
    <xf numFmtId="0" fontId="38" fillId="7" borderId="0" xfId="0" applyFont="1" applyFill="1"/>
    <xf numFmtId="0" fontId="39" fillId="7" borderId="0" xfId="0" applyFont="1" applyFill="1"/>
    <xf numFmtId="168" fontId="13" fillId="7" borderId="0" xfId="31" applyNumberFormat="1" applyFont="1" applyFill="1" applyAlignment="1">
      <alignment horizontal="center"/>
    </xf>
    <xf numFmtId="10" fontId="13" fillId="7" borderId="0" xfId="51" applyNumberFormat="1" applyFont="1" applyFill="1" applyAlignment="1">
      <alignment horizontal="center"/>
    </xf>
    <xf numFmtId="9" fontId="13" fillId="7" borderId="0" xfId="51" applyFont="1" applyFill="1" applyAlignment="1">
      <alignment horizontal="center"/>
    </xf>
    <xf numFmtId="0" fontId="38" fillId="0" borderId="0" xfId="0" applyFont="1"/>
    <xf numFmtId="165" fontId="11" fillId="7" borderId="0" xfId="51" applyNumberFormat="1" applyFont="1" applyFill="1" applyBorder="1" applyAlignment="1">
      <alignment horizontal="center"/>
    </xf>
    <xf numFmtId="165" fontId="13" fillId="7" borderId="0" xfId="51" applyNumberFormat="1" applyFont="1" applyFill="1"/>
    <xf numFmtId="9" fontId="12" fillId="7" borderId="0" xfId="51" applyFont="1" applyFill="1"/>
    <xf numFmtId="15" fontId="38" fillId="0" borderId="0" xfId="0" applyNumberFormat="1" applyFont="1"/>
    <xf numFmtId="0" fontId="13" fillId="7" borderId="0" xfId="0" applyFont="1" applyFill="1" applyAlignment="1">
      <alignment horizontal="center"/>
    </xf>
    <xf numFmtId="10" fontId="13" fillId="7" borderId="0" xfId="51" applyNumberFormat="1" applyFont="1" applyFill="1" applyBorder="1" applyAlignment="1">
      <alignment horizontal="center"/>
    </xf>
    <xf numFmtId="165" fontId="18" fillId="7" borderId="0" xfId="51" applyNumberFormat="1" applyFont="1" applyFill="1" applyBorder="1"/>
    <xf numFmtId="167" fontId="16" fillId="7" borderId="0" xfId="0" applyNumberFormat="1" applyFont="1" applyFill="1"/>
    <xf numFmtId="167" fontId="17" fillId="7" borderId="0" xfId="0" applyNumberFormat="1" applyFont="1" applyFill="1" applyAlignment="1">
      <alignment horizontal="left"/>
    </xf>
    <xf numFmtId="0" fontId="11" fillId="7" borderId="0" xfId="0" applyFont="1" applyFill="1" applyAlignment="1">
      <alignment horizontal="center"/>
    </xf>
    <xf numFmtId="170" fontId="13" fillId="7" borderId="0" xfId="0" applyNumberFormat="1" applyFont="1" applyFill="1"/>
    <xf numFmtId="164" fontId="13" fillId="7" borderId="0" xfId="31" applyNumberFormat="1" applyFont="1" applyFill="1"/>
    <xf numFmtId="167" fontId="40" fillId="7" borderId="0" xfId="0" applyNumberFormat="1" applyFont="1" applyFill="1" applyAlignment="1">
      <alignment horizontal="center"/>
    </xf>
    <xf numFmtId="173" fontId="40" fillId="7" borderId="0" xfId="31" applyNumberFormat="1" applyFont="1" applyFill="1" applyBorder="1" applyAlignment="1">
      <alignment horizontal="center"/>
    </xf>
    <xf numFmtId="10" fontId="40" fillId="7" borderId="0" xfId="51" applyNumberFormat="1" applyFont="1" applyFill="1" applyBorder="1" applyAlignment="1">
      <alignment horizontal="center"/>
    </xf>
    <xf numFmtId="167" fontId="41" fillId="7" borderId="0" xfId="0" applyNumberFormat="1" applyFont="1" applyFill="1" applyAlignment="1">
      <alignment horizontal="center"/>
    </xf>
    <xf numFmtId="173" fontId="41" fillId="7" borderId="0" xfId="31" applyNumberFormat="1" applyFont="1" applyFill="1" applyBorder="1" applyAlignment="1">
      <alignment horizontal="center"/>
    </xf>
    <xf numFmtId="10" fontId="41" fillId="7" borderId="0" xfId="51" applyNumberFormat="1" applyFont="1" applyFill="1" applyBorder="1" applyAlignment="1">
      <alignment horizontal="center"/>
    </xf>
    <xf numFmtId="0" fontId="42" fillId="7" borderId="0" xfId="0" applyFont="1" applyFill="1"/>
    <xf numFmtId="172" fontId="40" fillId="7" borderId="0" xfId="0" quotePrefix="1" applyNumberFormat="1" applyFont="1" applyFill="1" applyAlignment="1">
      <alignment horizontal="center"/>
    </xf>
    <xf numFmtId="169" fontId="40" fillId="7" borderId="0" xfId="0" quotePrefix="1" applyNumberFormat="1" applyFont="1" applyFill="1" applyAlignment="1">
      <alignment horizontal="center"/>
    </xf>
    <xf numFmtId="169" fontId="41" fillId="7" borderId="0" xfId="0" applyNumberFormat="1" applyFont="1" applyFill="1" applyAlignment="1">
      <alignment horizontal="center"/>
    </xf>
    <xf numFmtId="0" fontId="41" fillId="7" borderId="0" xfId="0" applyFont="1" applyFill="1" applyAlignment="1">
      <alignment horizontal="center"/>
    </xf>
    <xf numFmtId="167" fontId="41" fillId="7" borderId="0" xfId="0" applyNumberFormat="1" applyFont="1" applyFill="1" applyAlignment="1">
      <alignment horizontal="left"/>
    </xf>
    <xf numFmtId="0" fontId="41" fillId="7" borderId="0" xfId="0" applyFont="1" applyFill="1"/>
    <xf numFmtId="167" fontId="41" fillId="7" borderId="0" xfId="0" applyNumberFormat="1" applyFont="1" applyFill="1" applyAlignment="1">
      <alignment horizontal="left" vertical="center"/>
    </xf>
    <xf numFmtId="170" fontId="43" fillId="7" borderId="0" xfId="0" applyNumberFormat="1" applyFont="1" applyFill="1" applyAlignment="1">
      <alignment horizontal="left" vertical="center"/>
    </xf>
    <xf numFmtId="167" fontId="43" fillId="7" borderId="0" xfId="0" applyNumberFormat="1" applyFont="1" applyFill="1" applyAlignment="1">
      <alignment horizontal="left" vertical="center"/>
    </xf>
    <xf numFmtId="0" fontId="40" fillId="7" borderId="0" xfId="0" applyFont="1" applyFill="1" applyAlignment="1">
      <alignment horizontal="left" vertical="center"/>
    </xf>
    <xf numFmtId="165" fontId="44" fillId="7" borderId="0" xfId="51" applyNumberFormat="1" applyFont="1" applyFill="1" applyBorder="1"/>
    <xf numFmtId="14" fontId="41" fillId="7" borderId="0" xfId="51" applyNumberFormat="1" applyFont="1" applyFill="1" applyBorder="1" applyAlignment="1">
      <alignment horizontal="center"/>
    </xf>
    <xf numFmtId="0" fontId="15" fillId="39" borderId="0" xfId="0" applyFont="1" applyFill="1" applyAlignment="1">
      <alignment horizontal="center" vertical="center" wrapText="1"/>
    </xf>
    <xf numFmtId="10" fontId="41" fillId="7" borderId="0" xfId="51" applyNumberFormat="1" applyFont="1" applyFill="1" applyBorder="1" applyAlignment="1">
      <alignment horizontal="center"/>
    </xf>
    <xf numFmtId="0" fontId="19" fillId="7" borderId="0" xfId="0" applyFont="1" applyFill="1" applyAlignment="1">
      <alignment horizontal="justify" vertical="justify" wrapText="1"/>
    </xf>
    <xf numFmtId="0" fontId="15" fillId="39" borderId="0" xfId="0" applyFont="1" applyFill="1" applyAlignment="1">
      <alignment horizontal="left" vertical="center"/>
    </xf>
    <xf numFmtId="0" fontId="45" fillId="38" borderId="0" xfId="0" applyFont="1" applyFill="1" applyAlignment="1">
      <alignment horizontal="justify" vertical="center" wrapText="1"/>
    </xf>
    <xf numFmtId="3" fontId="40" fillId="38" borderId="0" xfId="51" applyNumberFormat="1" applyFont="1" applyFill="1" applyBorder="1" applyAlignment="1">
      <alignment horizontal="center"/>
    </xf>
  </cellXfs>
  <cellStyles count="57">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om" xfId="26" xr:uid="{00000000-0005-0000-0000-000019000000}"/>
    <cellStyle name="Calculation 2" xfId="27" xr:uid="{00000000-0005-0000-0000-00001A000000}"/>
    <cellStyle name="Célula de Verificação" xfId="28" xr:uid="{00000000-0005-0000-0000-00001B000000}"/>
    <cellStyle name="Célula Vinculada" xfId="29" xr:uid="{00000000-0005-0000-0000-00001C000000}"/>
    <cellStyle name="Check Cell" xfId="30" builtinId="23" customBuiltin="1"/>
    <cellStyle name="Comma" xfId="31" builtinId="3"/>
    <cellStyle name="Comma 2" xfId="32" xr:uid="{00000000-0005-0000-0000-00001F000000}"/>
    <cellStyle name="Entrada" xfId="33" xr:uid="{00000000-0005-0000-0000-000020000000}"/>
    <cellStyle name="Euro" xfId="34" xr:uid="{00000000-0005-0000-0000-000021000000}"/>
    <cellStyle name="Euro 2" xfId="35" xr:uid="{00000000-0005-0000-0000-000022000000}"/>
    <cellStyle name="Explanatory Text 2" xfId="36" xr:uid="{00000000-0005-0000-0000-000023000000}"/>
    <cellStyle name="Good" xfId="37" builtinId="26" customBuiltin="1"/>
    <cellStyle name="Heading 1 2" xfId="38" xr:uid="{00000000-0005-0000-0000-000025000000}"/>
    <cellStyle name="Heading 2 2" xfId="39" xr:uid="{00000000-0005-0000-0000-000026000000}"/>
    <cellStyle name="Heading 3 2" xfId="40" xr:uid="{00000000-0005-0000-0000-000027000000}"/>
    <cellStyle name="Heading 4 2" xfId="41" xr:uid="{00000000-0005-0000-0000-000028000000}"/>
    <cellStyle name="Input" xfId="42" builtinId="20" customBuiltin="1"/>
    <cellStyle name="Linked Cell" xfId="43" builtinId="24" customBuiltin="1"/>
    <cellStyle name="Neutra" xfId="44" xr:uid="{00000000-0005-0000-0000-00002B000000}"/>
    <cellStyle name="Normal" xfId="0" builtinId="0"/>
    <cellStyle name="Normal 2" xfId="45" xr:uid="{00000000-0005-0000-0000-00002D000000}"/>
    <cellStyle name="Normal 3" xfId="46" xr:uid="{00000000-0005-0000-0000-00002E000000}"/>
    <cellStyle name="Nota" xfId="47" xr:uid="{00000000-0005-0000-0000-00002F000000}"/>
    <cellStyle name="Note 2" xfId="48" xr:uid="{00000000-0005-0000-0000-000030000000}"/>
    <cellStyle name="Note 3" xfId="49" xr:uid="{00000000-0005-0000-0000-000031000000}"/>
    <cellStyle name="Output 2" xfId="50" xr:uid="{00000000-0005-0000-0000-000032000000}"/>
    <cellStyle name="Percent" xfId="51" builtinId="5"/>
    <cellStyle name="Percent 2" xfId="52" xr:uid="{00000000-0005-0000-0000-000034000000}"/>
    <cellStyle name="Texto de Aviso" xfId="53" xr:uid="{00000000-0005-0000-0000-000035000000}"/>
    <cellStyle name="Title 2" xfId="54" xr:uid="{00000000-0005-0000-0000-000036000000}"/>
    <cellStyle name="Total" xfId="55" builtinId="25" customBuiltin="1"/>
    <cellStyle name="Warning Text" xfId="5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733425</xdr:colOff>
      <xdr:row>0</xdr:row>
      <xdr:rowOff>0</xdr:rowOff>
    </xdr:from>
    <xdr:to>
      <xdr:col>4</xdr:col>
      <xdr:colOff>304800</xdr:colOff>
      <xdr:row>14</xdr:row>
      <xdr:rowOff>0</xdr:rowOff>
    </xdr:to>
    <xdr:pic>
      <xdr:nvPicPr>
        <xdr:cNvPr id="8349165" name="Picture 4">
          <a:extLst>
            <a:ext uri="{FF2B5EF4-FFF2-40B4-BE49-F238E27FC236}">
              <a16:creationId xmlns:a16="http://schemas.microsoft.com/office/drawing/2014/main" id="{E338AB61-516C-7748-3A29-3837E8FBC3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608" t="29601" r="18649" b="26419"/>
        <a:stretch>
          <a:fillRect/>
        </a:stretch>
      </xdr:blipFill>
      <xdr:spPr bwMode="auto">
        <a:xfrm>
          <a:off x="1628775" y="0"/>
          <a:ext cx="3400425"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54"/>
  <sheetViews>
    <sheetView showGridLines="0" tabSelected="1" view="pageBreakPreview" topLeftCell="A15" zoomScaleNormal="100" zoomScaleSheetLayoutView="100" workbookViewId="0">
      <selection activeCell="C36" sqref="C36:D36"/>
    </sheetView>
  </sheetViews>
  <sheetFormatPr defaultColWidth="9.140625" defaultRowHeight="12.75" x14ac:dyDescent="0.2"/>
  <cols>
    <col min="1" max="1" width="13.42578125" style="2" customWidth="1"/>
    <col min="2" max="5" width="19.140625" style="2" customWidth="1"/>
    <col min="6" max="6" width="5.42578125" style="2" customWidth="1"/>
    <col min="7" max="7" width="23.140625" style="2" bestFit="1" customWidth="1"/>
    <col min="8" max="8" width="23.42578125" style="2" bestFit="1" customWidth="1"/>
    <col min="9" max="16384" width="9.140625" style="2"/>
  </cols>
  <sheetData>
    <row r="1" spans="1:6" hidden="1" x14ac:dyDescent="0.2">
      <c r="A1" s="1">
        <v>45555</v>
      </c>
    </row>
    <row r="2" spans="1:6" hidden="1" x14ac:dyDescent="0.2"/>
    <row r="3" spans="1:6" hidden="1" x14ac:dyDescent="0.2"/>
    <row r="4" spans="1:6" hidden="1" x14ac:dyDescent="0.2"/>
    <row r="5" spans="1:6" hidden="1" x14ac:dyDescent="0.2"/>
    <row r="6" spans="1:6" hidden="1" x14ac:dyDescent="0.2"/>
    <row r="8" spans="1:6" x14ac:dyDescent="0.2">
      <c r="A8" s="1"/>
      <c r="B8" s="3"/>
      <c r="C8" s="4"/>
      <c r="D8" s="4"/>
      <c r="E8" s="5"/>
      <c r="F8" s="4"/>
    </row>
    <row r="9" spans="1:6" x14ac:dyDescent="0.2">
      <c r="A9" s="4"/>
      <c r="B9" s="4"/>
      <c r="C9" s="4"/>
      <c r="D9" s="4"/>
      <c r="E9" s="4"/>
      <c r="F9" s="4"/>
    </row>
    <row r="10" spans="1:6" x14ac:dyDescent="0.2">
      <c r="A10" s="4"/>
      <c r="B10" s="4"/>
      <c r="C10" s="4"/>
      <c r="D10" s="4"/>
      <c r="E10" s="4"/>
      <c r="F10" s="4"/>
    </row>
    <row r="11" spans="1:6" x14ac:dyDescent="0.2">
      <c r="A11" s="4"/>
      <c r="B11" s="4"/>
      <c r="C11" s="6"/>
      <c r="D11" s="6"/>
      <c r="E11" s="6"/>
      <c r="F11" s="4"/>
    </row>
    <row r="12" spans="1:6" x14ac:dyDescent="0.2">
      <c r="A12" s="4"/>
      <c r="B12" s="4"/>
      <c r="C12" s="6"/>
      <c r="D12" s="6"/>
      <c r="E12" s="6"/>
      <c r="F12" s="4"/>
    </row>
    <row r="13" spans="1:6" x14ac:dyDescent="0.2">
      <c r="A13" s="4"/>
      <c r="B13" s="4"/>
      <c r="C13" s="6"/>
      <c r="D13" s="6"/>
      <c r="E13" s="6"/>
      <c r="F13" s="4"/>
    </row>
    <row r="14" spans="1:6" s="7" customFormat="1" ht="15" x14ac:dyDescent="0.2">
      <c r="B14" s="37" t="s">
        <v>10</v>
      </c>
      <c r="D14" s="8"/>
      <c r="E14" s="8"/>
    </row>
    <row r="15" spans="1:6" x14ac:dyDescent="0.2">
      <c r="A15" s="4"/>
      <c r="B15" s="5"/>
      <c r="C15" s="9"/>
      <c r="D15" s="6"/>
      <c r="E15" s="6"/>
      <c r="F15" s="4"/>
    </row>
    <row r="16" spans="1:6" ht="26.25" customHeight="1" x14ac:dyDescent="0.2">
      <c r="A16" s="4"/>
      <c r="B16" s="10" t="s">
        <v>0</v>
      </c>
      <c r="C16" s="11" t="s">
        <v>3</v>
      </c>
      <c r="D16" s="11" t="s">
        <v>2</v>
      </c>
      <c r="E16" s="12" t="s">
        <v>8</v>
      </c>
      <c r="F16" s="4"/>
    </row>
    <row r="17" spans="1:8" ht="12.95" customHeight="1" x14ac:dyDescent="0.2">
      <c r="A17" s="4"/>
      <c r="B17" s="31">
        <v>45558</v>
      </c>
      <c r="C17" s="32">
        <v>1.7641549999999999</v>
      </c>
      <c r="D17" s="33">
        <v>-4.2465379582130591E-3</v>
      </c>
      <c r="E17" s="33">
        <v>-6.4795399526634823E-3</v>
      </c>
      <c r="F17" s="4"/>
    </row>
    <row r="18" spans="1:8" ht="12.95" customHeight="1" x14ac:dyDescent="0.2">
      <c r="A18" s="4"/>
      <c r="B18" s="34">
        <v>45555</v>
      </c>
      <c r="C18" s="35">
        <v>1.7716784999999999</v>
      </c>
      <c r="D18" s="36">
        <v>1.2481248490647801E-4</v>
      </c>
      <c r="E18" s="36">
        <v>-2.1103866946853289E-3</v>
      </c>
      <c r="F18" s="4"/>
    </row>
    <row r="19" spans="1:8" ht="12.95" customHeight="1" x14ac:dyDescent="0.2">
      <c r="A19" s="4"/>
      <c r="B19" s="34">
        <v>45554</v>
      </c>
      <c r="C19" s="35">
        <v>1.7714574000000001</v>
      </c>
      <c r="D19" s="36">
        <v>2.0842609364586373E-3</v>
      </c>
      <c r="E19" s="36">
        <v>-2.8446487470711324E-3</v>
      </c>
      <c r="F19" s="4"/>
    </row>
    <row r="20" spans="1:8" ht="12.95" customHeight="1" x14ac:dyDescent="0.2">
      <c r="A20" s="13"/>
      <c r="B20" s="34">
        <v>45553</v>
      </c>
      <c r="C20" s="35">
        <v>1.7677729</v>
      </c>
      <c r="D20" s="36">
        <v>6.5990904259360939E-4</v>
      </c>
      <c r="E20" s="36">
        <v>-1.0466177251121644E-3</v>
      </c>
      <c r="F20" s="4"/>
    </row>
    <row r="21" spans="1:8" ht="12.95" customHeight="1" x14ac:dyDescent="0.2">
      <c r="A21" s="13"/>
      <c r="B21" s="34">
        <v>45552</v>
      </c>
      <c r="C21" s="35">
        <v>1.7666071000000001</v>
      </c>
      <c r="D21" s="36">
        <v>-2.9798738305617523E-3</v>
      </c>
      <c r="E21" s="36">
        <v>-2.1007403175510309E-3</v>
      </c>
      <c r="F21" s="4"/>
    </row>
    <row r="22" spans="1:8" x14ac:dyDescent="0.2">
      <c r="A22" s="14"/>
      <c r="B22" s="15"/>
      <c r="C22" s="16"/>
      <c r="D22" s="17"/>
      <c r="E22" s="17"/>
      <c r="F22" s="4"/>
    </row>
    <row r="23" spans="1:8" ht="26.25" customHeight="1" x14ac:dyDescent="0.2">
      <c r="A23" s="4"/>
      <c r="B23" s="10" t="s">
        <v>7</v>
      </c>
      <c r="C23" s="50" t="s">
        <v>2</v>
      </c>
      <c r="D23" s="50"/>
      <c r="E23" s="12" t="s">
        <v>8</v>
      </c>
      <c r="F23" s="4"/>
      <c r="H23" s="2" t="s">
        <v>4</v>
      </c>
    </row>
    <row r="24" spans="1:8" x14ac:dyDescent="0.2">
      <c r="A24" s="18"/>
      <c r="B24" s="38">
        <v>45559</v>
      </c>
      <c r="C24" s="51">
        <v>1.2500000000000001E-2</v>
      </c>
      <c r="D24" s="51"/>
      <c r="E24" s="33">
        <v>8.5000000000000006E-3</v>
      </c>
      <c r="F24" s="19"/>
    </row>
    <row r="25" spans="1:8" ht="12.75" hidden="1" customHeight="1" x14ac:dyDescent="0.2">
      <c r="A25" s="18"/>
      <c r="B25" s="39" t="s">
        <v>12</v>
      </c>
      <c r="C25" s="36"/>
      <c r="D25" s="36">
        <v>5.9919691942598163E-3</v>
      </c>
      <c r="E25" s="33">
        <v>142399141.74809524</v>
      </c>
      <c r="F25" s="19"/>
    </row>
    <row r="26" spans="1:8" ht="12.75" hidden="1" customHeight="1" x14ac:dyDescent="0.2">
      <c r="A26" s="18"/>
      <c r="B26" s="39" t="s">
        <v>13</v>
      </c>
      <c r="C26" s="36"/>
      <c r="D26" s="36">
        <v>1.6815111127147064E-2</v>
      </c>
      <c r="E26" s="33">
        <v>-4.8525894498996358E-3</v>
      </c>
      <c r="F26" s="19"/>
    </row>
    <row r="27" spans="1:8" ht="12.75" hidden="1" customHeight="1" x14ac:dyDescent="0.2">
      <c r="A27" s="18"/>
      <c r="B27" s="39" t="s">
        <v>14</v>
      </c>
      <c r="C27" s="49">
        <v>45558</v>
      </c>
      <c r="D27" s="36">
        <v>1.3808646232156274E-3</v>
      </c>
      <c r="E27" s="33">
        <v>-2.822058888253165E-2</v>
      </c>
      <c r="F27" s="19"/>
    </row>
    <row r="28" spans="1:8" ht="12.75" hidden="1" customHeight="1" x14ac:dyDescent="0.2">
      <c r="A28" s="18"/>
      <c r="B28" s="39" t="s">
        <v>15</v>
      </c>
      <c r="C28" s="49">
        <v>43150</v>
      </c>
      <c r="D28" s="36">
        <v>4.1185600818427481E-2</v>
      </c>
      <c r="E28" s="33">
        <v>3.7210904592643645E-2</v>
      </c>
      <c r="F28" s="19"/>
    </row>
    <row r="29" spans="1:8" ht="12.75" hidden="1" customHeight="1" x14ac:dyDescent="0.2">
      <c r="A29" s="18"/>
      <c r="B29" s="39" t="s">
        <v>24</v>
      </c>
      <c r="C29" s="36"/>
      <c r="D29" s="36">
        <v>1.9863684417152472E-2</v>
      </c>
      <c r="E29" s="33">
        <v>1.6307154310979399E-4</v>
      </c>
      <c r="F29" s="19"/>
    </row>
    <row r="30" spans="1:8" x14ac:dyDescent="0.2">
      <c r="A30" s="18"/>
      <c r="B30" s="40" t="s">
        <v>23</v>
      </c>
      <c r="C30" s="51">
        <v>1.8499999999999999E-2</v>
      </c>
      <c r="D30" s="51"/>
      <c r="E30" s="36">
        <v>0.15496332569503291</v>
      </c>
      <c r="F30" s="20"/>
      <c r="G30" s="21"/>
    </row>
    <row r="31" spans="1:8" x14ac:dyDescent="0.2">
      <c r="A31" s="22"/>
      <c r="B31" s="40" t="s">
        <v>22</v>
      </c>
      <c r="C31" s="51">
        <v>2.5600000000000001E-2</v>
      </c>
      <c r="D31" s="51"/>
      <c r="E31" s="36">
        <v>2.2226262928775498E-2</v>
      </c>
      <c r="F31" s="20"/>
    </row>
    <row r="32" spans="1:8" x14ac:dyDescent="0.2">
      <c r="A32" s="22"/>
      <c r="B32" s="40" t="s">
        <v>16</v>
      </c>
      <c r="C32" s="51">
        <v>0.10249999999999999</v>
      </c>
      <c r="D32" s="51"/>
      <c r="E32" s="36">
        <v>0.45272673839716115</v>
      </c>
      <c r="F32" s="20"/>
    </row>
    <row r="33" spans="1:6" x14ac:dyDescent="0.2">
      <c r="A33" s="22"/>
      <c r="B33" s="40" t="s">
        <v>15</v>
      </c>
      <c r="C33" s="51">
        <v>4.7214724950446207E-2</v>
      </c>
      <c r="D33" s="51"/>
      <c r="E33" s="36">
        <v>3.3761280119080972E-2</v>
      </c>
      <c r="F33" s="20"/>
    </row>
    <row r="34" spans="1:6" x14ac:dyDescent="0.2">
      <c r="A34" s="22"/>
      <c r="B34" s="40" t="s">
        <v>24</v>
      </c>
      <c r="C34" s="51">
        <v>2.4213043985734872E-2</v>
      </c>
      <c r="D34" s="51"/>
      <c r="E34" s="36">
        <v>6.6859332675008876E-3</v>
      </c>
      <c r="F34" s="20"/>
    </row>
    <row r="35" spans="1:6" x14ac:dyDescent="0.2">
      <c r="A35" s="22"/>
      <c r="B35" s="40" t="s">
        <v>23</v>
      </c>
      <c r="C35" s="51">
        <v>0.14972802384911699</v>
      </c>
      <c r="D35" s="51"/>
      <c r="E35" s="36">
        <v>0.15496332569503291</v>
      </c>
      <c r="F35" s="20"/>
    </row>
    <row r="36" spans="1:6" x14ac:dyDescent="0.2">
      <c r="A36" s="22"/>
      <c r="B36" s="40" t="s">
        <v>22</v>
      </c>
      <c r="C36" s="51">
        <v>9.5117329166935161E-2</v>
      </c>
      <c r="D36" s="51"/>
      <c r="E36" s="36">
        <v>2.2226262928775498E-2</v>
      </c>
      <c r="F36" s="20"/>
    </row>
    <row r="37" spans="1:6" hidden="1" x14ac:dyDescent="0.2">
      <c r="A37" s="22">
        <v>44196</v>
      </c>
      <c r="B37" s="40" t="s">
        <v>21</v>
      </c>
      <c r="C37" s="51" t="e">
        <f>VLOOKUP(A36,#REF!,2,0)/VLOOKUP($A$37,#REF!,2,0)-1</f>
        <v>#REF!</v>
      </c>
      <c r="D37" s="51"/>
      <c r="E37" s="36" t="e">
        <f>VLOOKUP(A36,#REF!,21,0)/VLOOKUP(A37,#REF!,21,0)-1</f>
        <v>#REF!</v>
      </c>
      <c r="F37" s="20"/>
    </row>
    <row r="38" spans="1:6" hidden="1" x14ac:dyDescent="0.2">
      <c r="A38" s="22">
        <v>43830</v>
      </c>
      <c r="B38" s="40" t="s">
        <v>11</v>
      </c>
      <c r="C38" s="51" t="e">
        <f>VLOOKUP(A37,#REF!,2,0)/VLOOKUP($A$38,#REF!,2,0)-1</f>
        <v>#REF!</v>
      </c>
      <c r="D38" s="51"/>
      <c r="E38" s="36" t="e">
        <f>VLOOKUP(A37,#REF!,21,0)/VLOOKUP(A38,#REF!,21,0)-1</f>
        <v>#REF!</v>
      </c>
      <c r="F38" s="20"/>
    </row>
    <row r="39" spans="1:6" hidden="1" x14ac:dyDescent="0.2">
      <c r="A39" s="22">
        <v>43465</v>
      </c>
      <c r="B39" s="40" t="s">
        <v>5</v>
      </c>
      <c r="C39" s="51" t="e">
        <f>VLOOKUP(A38,#REF!,2,0)/VLOOKUP($A$39,#REF!,2,0)-1</f>
        <v>#REF!</v>
      </c>
      <c r="D39" s="51"/>
      <c r="E39" s="36" t="e">
        <f>VLOOKUP(A38,#REF!,21,0)/VLOOKUP(A39,#REF!,21,0)-1</f>
        <v>#REF!</v>
      </c>
      <c r="F39" s="20"/>
    </row>
    <row r="40" spans="1:6" hidden="1" x14ac:dyDescent="0.2">
      <c r="A40" s="22">
        <v>43150</v>
      </c>
      <c r="B40" s="40" t="s">
        <v>9</v>
      </c>
      <c r="C40" s="51" t="e">
        <f>VLOOKUP(A39,#REF!,2,0)/VLOOKUP($A$40,#REF!,2,0)-1</f>
        <v>#REF!</v>
      </c>
      <c r="D40" s="51"/>
      <c r="E40" s="36" t="e">
        <f>VLOOKUP(A39,#REF!,21,0)/VLOOKUP(A40,#REF!,21,0)-1</f>
        <v>#REF!</v>
      </c>
      <c r="F40" s="4"/>
    </row>
    <row r="41" spans="1:6" x14ac:dyDescent="0.2">
      <c r="A41" s="22"/>
      <c r="B41" s="41" t="s">
        <v>16</v>
      </c>
      <c r="C41" s="51">
        <v>0.77167849999999993</v>
      </c>
      <c r="D41" s="51"/>
      <c r="E41" s="36">
        <v>0.46220112903155064</v>
      </c>
      <c r="F41" s="4"/>
    </row>
    <row r="42" spans="1:6" ht="26.25" customHeight="1" x14ac:dyDescent="0.2">
      <c r="A42" s="4"/>
      <c r="B42" s="23"/>
      <c r="C42" s="24"/>
      <c r="D42" s="24"/>
      <c r="E42" s="24"/>
      <c r="F42" s="4"/>
    </row>
    <row r="43" spans="1:6" x14ac:dyDescent="0.2">
      <c r="A43" s="14"/>
      <c r="B43" s="53" t="s">
        <v>1</v>
      </c>
      <c r="C43" s="53"/>
      <c r="D43" s="53"/>
      <c r="E43" s="53"/>
      <c r="F43" s="4"/>
    </row>
    <row r="44" spans="1:6" x14ac:dyDescent="0.2">
      <c r="A44" s="14"/>
      <c r="B44" s="42" t="s">
        <v>17</v>
      </c>
      <c r="C44" s="43"/>
      <c r="D44" s="55">
        <v>111763691.12094073</v>
      </c>
      <c r="E44" s="55"/>
      <c r="F44" s="4"/>
    </row>
    <row r="45" spans="1:6" x14ac:dyDescent="0.2">
      <c r="A45" s="14"/>
      <c r="B45" s="44" t="s">
        <v>18</v>
      </c>
      <c r="C45" s="43"/>
      <c r="D45" s="55">
        <v>143383516.77649909</v>
      </c>
      <c r="E45" s="55"/>
      <c r="F45" s="4"/>
    </row>
    <row r="46" spans="1:6" x14ac:dyDescent="0.2">
      <c r="A46" s="14"/>
      <c r="B46" s="42"/>
      <c r="C46" s="43"/>
      <c r="D46" s="43"/>
      <c r="E46" s="43"/>
      <c r="F46" s="4"/>
    </row>
    <row r="47" spans="1:6" x14ac:dyDescent="0.2">
      <c r="A47" s="14"/>
      <c r="B47" s="45" t="s">
        <v>19</v>
      </c>
      <c r="C47" s="46">
        <v>45555</v>
      </c>
      <c r="D47" s="47"/>
      <c r="E47" s="47"/>
      <c r="F47" s="4"/>
    </row>
    <row r="48" spans="1:6" x14ac:dyDescent="0.2">
      <c r="A48" s="14"/>
      <c r="B48" s="46" t="s">
        <v>20</v>
      </c>
      <c r="C48" s="46">
        <v>43150</v>
      </c>
      <c r="D48" s="48"/>
      <c r="E48" s="48"/>
      <c r="F48" s="4"/>
    </row>
    <row r="49" spans="1:6" x14ac:dyDescent="0.2">
      <c r="A49" s="14"/>
      <c r="B49" s="26"/>
      <c r="C49" s="27"/>
      <c r="D49" s="25"/>
      <c r="E49" s="25"/>
      <c r="F49" s="4"/>
    </row>
    <row r="50" spans="1:6" ht="48" customHeight="1" x14ac:dyDescent="0.2">
      <c r="A50" s="4"/>
      <c r="B50" s="54" t="s">
        <v>6</v>
      </c>
      <c r="C50" s="54"/>
      <c r="D50" s="54"/>
      <c r="E50" s="54"/>
      <c r="F50" s="4"/>
    </row>
    <row r="51" spans="1:6" x14ac:dyDescent="0.2">
      <c r="A51" s="4"/>
      <c r="B51" s="52"/>
      <c r="C51" s="52"/>
      <c r="D51" s="52"/>
      <c r="E51" s="52"/>
      <c r="F51" s="4"/>
    </row>
    <row r="52" spans="1:6" x14ac:dyDescent="0.2">
      <c r="A52" s="4"/>
      <c r="B52" s="28"/>
      <c r="C52" s="28"/>
      <c r="D52" s="28"/>
      <c r="E52" s="28"/>
      <c r="F52" s="4"/>
    </row>
    <row r="53" spans="1:6" x14ac:dyDescent="0.2">
      <c r="A53" s="4"/>
      <c r="B53" s="29"/>
      <c r="C53" s="30"/>
      <c r="D53" s="20"/>
      <c r="E53" s="20"/>
      <c r="F53" s="4"/>
    </row>
    <row r="54" spans="1:6" x14ac:dyDescent="0.2">
      <c r="B54" s="29"/>
      <c r="C54" s="30"/>
      <c r="D54" s="20"/>
      <c r="E54" s="20"/>
    </row>
  </sheetData>
  <mergeCells count="19">
    <mergeCell ref="B51:E51"/>
    <mergeCell ref="B43:E43"/>
    <mergeCell ref="C41:D41"/>
    <mergeCell ref="C40:D40"/>
    <mergeCell ref="C38:D38"/>
    <mergeCell ref="B50:E50"/>
    <mergeCell ref="C39:D39"/>
    <mergeCell ref="D44:E44"/>
    <mergeCell ref="D45:E45"/>
    <mergeCell ref="C23:D23"/>
    <mergeCell ref="C33:D33"/>
    <mergeCell ref="C24:D24"/>
    <mergeCell ref="C32:D32"/>
    <mergeCell ref="C37:D37"/>
    <mergeCell ref="C30:D30"/>
    <mergeCell ref="C31:D31"/>
    <mergeCell ref="C36:D36"/>
    <mergeCell ref="C35:D35"/>
    <mergeCell ref="C34:D34"/>
  </mergeCells>
  <phoneticPr fontId="2" type="noConversion"/>
  <printOptions horizontalCentered="1" verticalCentered="1"/>
  <pageMargins left="0.5" right="0.5" top="0.5" bottom="0.5" header="0.5" footer="0.5"/>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Company>Capitania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Caua Andrade Gonçalves dos Santos</cp:lastModifiedBy>
  <cp:lastPrinted>2024-09-24T18:57:33Z</cp:lastPrinted>
  <dcterms:created xsi:type="dcterms:W3CDTF">2007-06-29T23:36:13Z</dcterms:created>
  <dcterms:modified xsi:type="dcterms:W3CDTF">2024-10-04T19:25:30Z</dcterms:modified>
</cp:coreProperties>
</file>
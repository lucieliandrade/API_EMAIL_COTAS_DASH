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i val="1"/>
      <color theme="1" tint="0.499984740745262"/>
      <sz val="7"/>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3" fontId="32" fillId="35" borderId="0" applyAlignment="1" pivotButton="0" quotePrefix="0" xfId="47">
      <alignment horizontal="centerContinuous"/>
    </xf>
    <xf numFmtId="0" fontId="35" fillId="35" borderId="0" applyAlignment="1" pivotButton="0" quotePrefix="0" xfId="0">
      <alignment horizontal="centerContinuous" vertical="center" wrapText="1"/>
    </xf>
    <xf numFmtId="0" fontId="36" fillId="7" borderId="0" pivotButton="0" quotePrefix="0" xfId="0"/>
    <xf numFmtId="166" fontId="37" fillId="7" borderId="0" applyAlignment="1" pivotButton="0" quotePrefix="0" xfId="0">
      <alignment horizontal="center"/>
    </xf>
    <xf numFmtId="169" fontId="37" fillId="7" borderId="0" applyAlignment="1" pivotButton="0" quotePrefix="0" xfId="30">
      <alignment horizontal="center"/>
    </xf>
    <xf numFmtId="10" fontId="37" fillId="7" borderId="0" applyAlignment="1" pivotButton="0" quotePrefix="0" xfId="47">
      <alignment horizontal="center"/>
    </xf>
    <xf numFmtId="9" fontId="37" fillId="7" borderId="0" applyAlignment="1" pivotButton="0" quotePrefix="0" xfId="47">
      <alignment horizontal="center"/>
    </xf>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70" fontId="37" fillId="7" borderId="0" applyAlignment="1" pivotButton="0" quotePrefix="1" xfId="0">
      <alignment horizontal="centerContinuous"/>
    </xf>
    <xf numFmtId="165" fontId="37" fillId="7" borderId="0" applyAlignment="1" pivotButton="0" quotePrefix="0" xfId="47">
      <alignment horizontal="center"/>
    </xf>
    <xf numFmtId="0" fontId="36" fillId="35" borderId="0" pivotButton="0" quotePrefix="0" xfId="0"/>
    <xf numFmtId="170" fontId="36" fillId="7" borderId="0" applyAlignment="1" pivotButton="0" quotePrefix="1" xfId="0">
      <alignment horizontal="centerContinuous"/>
    </xf>
    <xf numFmtId="165" fontId="36" fillId="7" borderId="0" pivotButton="0" quotePrefix="0" xfId="47"/>
    <xf numFmtId="9" fontId="36" fillId="7" borderId="0" pivotButton="0" quotePrefix="0" xfId="47"/>
    <xf numFmtId="15" fontId="36" fillId="35" borderId="0" pivotButton="0" quotePrefix="0" xfId="0"/>
    <xf numFmtId="15" fontId="37" fillId="35" borderId="0" pivotButton="0" quotePrefix="0" xfId="0"/>
    <xf numFmtId="165" fontId="37" fillId="7" borderId="0" pivotButton="0" quotePrefix="0" xfId="47"/>
    <xf numFmtId="0" fontId="37" fillId="7" borderId="0" pivotButton="0" quotePrefix="0" xfId="0"/>
    <xf numFmtId="3" fontId="37"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8" zoomScaleNormal="100" zoomScaleSheetLayoutView="100" workbookViewId="0">
      <selection activeCell="A30" sqref="A30:XFD30"/>
    </sheetView>
  </sheetViews>
  <sheetFormatPr baseColWidth="8" defaultColWidth="9.140625" defaultRowHeight="12.75"/>
  <cols>
    <col width="13.42578125" customWidth="1" style="60" min="1" max="1"/>
    <col width="18.7109375" customWidth="1" style="60" min="2" max="6"/>
    <col width="5.42578125" customWidth="1" style="60" min="7" max="7"/>
    <col width="23.140625" bestFit="1" customWidth="1" style="60" min="8" max="8"/>
    <col width="23.42578125" bestFit="1" customWidth="1" style="60" min="9" max="9"/>
    <col width="9.140625" customWidth="1" style="60" min="10" max="13"/>
    <col width="9.140625" customWidth="1" style="60" min="14" max="16384"/>
  </cols>
  <sheetData>
    <row r="1" hidden="1">
      <c r="A1" s="1">
        <f>DataAnálise</f>
        <v/>
      </c>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PREV ADVISORY XP SEG FIFE FIF RF CP RL</t>
        </is>
      </c>
      <c r="C13" s="57" t="n"/>
      <c r="D13" s="58" t="n"/>
      <c r="E13" s="58" t="n"/>
      <c r="F13" s="58" t="n"/>
      <c r="G13" s="4" t="n"/>
    </row>
    <row r="14" ht="15.95" customHeight="1">
      <c r="A14" s="4" t="n"/>
      <c r="B14" s="56" t="inlineStr">
        <is>
          <t>CNPJ 41.672.242/0001-09</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2025-12-17</t>
        </is>
      </c>
      <c r="C17" s="38" t="n">
        <v>1.47215174</v>
      </c>
      <c r="D17" s="39" t="n">
        <v>0.0002077731057081866</v>
      </c>
      <c r="E17" s="39" t="n">
        <v>0.0005513106415402369</v>
      </c>
      <c r="F17" s="40" t="n">
        <v>0.3768712048215063</v>
      </c>
    </row>
    <row r="18" ht="15.95" customFormat="1" customHeight="1" s="36">
      <c r="B18" s="41" t="inlineStr">
        <is>
          <t>2025-12-16</t>
        </is>
      </c>
      <c r="C18" s="42" t="n">
        <v>1.47184593</v>
      </c>
      <c r="D18" s="43" t="n">
        <v>-0.0005013499363815122</v>
      </c>
      <c r="E18" s="43" t="n">
        <v>0.0005513106415402369</v>
      </c>
      <c r="F18" s="44" t="n">
        <v>-0.9093783043636781</v>
      </c>
    </row>
    <row r="19" ht="15.95" customFormat="1" customHeight="1" s="36">
      <c r="B19" s="41" t="inlineStr">
        <is>
          <t>2025-12-15</t>
        </is>
      </c>
      <c r="C19" s="42" t="n">
        <v>1.47258421</v>
      </c>
      <c r="D19" s="43" t="n">
        <v>0.0002758293911360177</v>
      </c>
      <c r="E19" s="43" t="n">
        <v>0.0005513106415402369</v>
      </c>
      <c r="F19" s="44" t="n">
        <v>0.5003157391727701</v>
      </c>
    </row>
    <row r="20" ht="15.95" customFormat="1" customHeight="1" s="36">
      <c r="B20" s="41" t="inlineStr">
        <is>
          <t>2025-12-12</t>
        </is>
      </c>
      <c r="C20" s="42" t="n">
        <v>1.47217814</v>
      </c>
      <c r="D20" s="43" t="n">
        <v>0.0009335295342667305</v>
      </c>
      <c r="E20" s="43" t="n">
        <v>0.0005513106415402369</v>
      </c>
      <c r="F20" s="44" t="n">
        <v>1.6932913387245</v>
      </c>
    </row>
    <row r="21" ht="15.95" customFormat="1" customHeight="1" s="36">
      <c r="B21" s="41" t="inlineStr">
        <is>
          <t>2025-12-11</t>
        </is>
      </c>
      <c r="C21" s="42" t="n">
        <v>1.4708051</v>
      </c>
      <c r="D21" s="43" t="n">
        <v>0.001714104784462211</v>
      </c>
      <c r="E21" s="43" t="n">
        <v>0.0005513106415402369</v>
      </c>
      <c r="F21" s="44" t="n">
        <v>3.109145108596837</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-0.004853139236966286</v>
      </c>
      <c r="E24" s="39" t="n">
        <v>0.007190793917404292</v>
      </c>
      <c r="F24" s="40" t="n">
        <v>-0.6749100715040594</v>
      </c>
      <c r="G24" s="46" t="n"/>
    </row>
    <row r="25" ht="15.95" customFormat="1" customHeight="1" s="36">
      <c r="A25" s="47" t="n"/>
      <c r="B25" s="48" t="inlineStr">
        <is>
          <t>Últimos 30 dias</t>
        </is>
      </c>
      <c r="C25" s="48" t="inlineStr"/>
      <c r="D25" s="43" t="n">
        <v>-0.0005849302044683702</v>
      </c>
      <c r="E25" s="43" t="n">
        <v>0.0116415750096508</v>
      </c>
      <c r="F25" s="44" t="n">
        <v>-0.05024493713122723</v>
      </c>
      <c r="G25" s="49" t="n"/>
      <c r="H25" s="50" t="n"/>
    </row>
    <row r="26" ht="15.95" customFormat="1" customHeight="1" s="36">
      <c r="A26" s="47" t="n"/>
      <c r="B26" s="48" t="inlineStr">
        <is>
          <t>Últimos 90 dias</t>
        </is>
      </c>
      <c r="C26" s="48" t="inlineStr"/>
      <c r="D26" s="43" t="n">
        <v>0.01101771416454977</v>
      </c>
      <c r="E26" s="43" t="n">
        <v>0.03533288157429126</v>
      </c>
      <c r="F26" s="44" t="n">
        <v>0.3118260858906687</v>
      </c>
      <c r="G26" s="49" t="n"/>
    </row>
    <row r="27" ht="15.95" customFormat="1" customHeight="1" s="36">
      <c r="A27" s="51" t="n"/>
      <c r="B27" s="48" t="inlineStr">
        <is>
          <t>Últimos 180 dias</t>
        </is>
      </c>
      <c r="C27" s="48" t="inlineStr"/>
      <c r="D27" s="43" t="n">
        <v>0.04112154007305402</v>
      </c>
      <c r="E27" s="43" t="n">
        <v>0.07191417566892588</v>
      </c>
      <c r="F27" s="44" t="n">
        <v>0.5718141060584059</v>
      </c>
      <c r="G27" s="49" t="n"/>
    </row>
    <row r="28" ht="15.95" customFormat="1" customHeight="1" s="36">
      <c r="A28" s="51" t="n"/>
      <c r="B28" s="48" t="inlineStr">
        <is>
          <t>Últimos 360 dias</t>
        </is>
      </c>
      <c r="C28" s="48" t="inlineStr"/>
      <c r="D28" s="43" t="n">
        <v>0.1000290999440507</v>
      </c>
      <c r="E28" s="43" t="n">
        <v>0.1421441680126512</v>
      </c>
      <c r="F28" s="44" t="n">
        <v>0.7037158213564407</v>
      </c>
      <c r="G28" s="49" t="n"/>
    </row>
    <row r="29" ht="15.95" customFormat="1" customHeight="1" s="36">
      <c r="A29" s="51" t="n"/>
      <c r="B29" s="48" t="inlineStr">
        <is>
          <t>Últimos 720 dias</t>
        </is>
      </c>
      <c r="C29" s="48" t="inlineStr"/>
      <c r="D29" s="43" t="n">
        <v>0.1813993622994903</v>
      </c>
      <c r="E29" s="43" t="n">
        <v>0.2655624476665901</v>
      </c>
      <c r="F29" s="44" t="n">
        <v>0.6830761046728814</v>
      </c>
      <c r="G29" s="49" t="n"/>
    </row>
    <row r="30" ht="15.95" customFormat="1" customHeight="1" s="54">
      <c r="A30" s="52" t="n"/>
      <c r="B30" s="45" t="inlineStr">
        <is>
          <t>Ano 2025</t>
        </is>
      </c>
      <c r="C30" s="45" t="inlineStr"/>
      <c r="D30" s="39" t="n">
        <v>0.100284462977809</v>
      </c>
      <c r="E30" s="39" t="n">
        <v>0.1374763634933334</v>
      </c>
      <c r="F30" s="40" t="n">
        <v>0.7294669456591504</v>
      </c>
      <c r="G30" s="53" t="n"/>
    </row>
    <row r="31" ht="15.95" customFormat="1" customHeight="1" s="36">
      <c r="A31" s="51" t="n"/>
      <c r="B31" s="48" t="inlineStr">
        <is>
          <t>Ano 2024</t>
        </is>
      </c>
      <c r="C31" s="48" t="inlineStr"/>
      <c r="D31" s="43" t="n">
        <v>0.06718693236037376</v>
      </c>
      <c r="E31" s="43" t="n">
        <v>0.1092049264357533</v>
      </c>
      <c r="F31" s="44" t="n">
        <v>0.6152371926178689</v>
      </c>
      <c r="G31" s="49" t="n"/>
    </row>
    <row r="32" ht="15.95" customFormat="1" customHeight="1" s="36">
      <c r="A32" s="51" t="n"/>
      <c r="B32" s="48" t="inlineStr">
        <is>
          <t>Ano 2023</t>
        </is>
      </c>
      <c r="C32" s="48" t="inlineStr"/>
      <c r="D32" s="43" t="n">
        <v>0.1095975618816869</v>
      </c>
      <c r="E32" s="43" t="n">
        <v>0.1304743935848238</v>
      </c>
      <c r="F32" s="44" t="n">
        <v>0.8399928819016544</v>
      </c>
    </row>
    <row r="33" ht="15.95" customFormat="1" customHeight="1" s="54">
      <c r="A33" s="52" t="n"/>
      <c r="B33" s="45" t="inlineStr">
        <is>
          <t>Acumulado²</t>
        </is>
      </c>
      <c r="C33" s="45" t="inlineStr"/>
      <c r="D33" s="39" t="n">
        <v>0.4721517399999999</v>
      </c>
      <c r="E33" s="39" t="n">
        <v>0.6089281701980478</v>
      </c>
      <c r="F33" s="40" t="n">
        <v>0.7753816675067559</v>
      </c>
    </row>
    <row r="34" ht="15.95" customHeight="1">
      <c r="A34" s="13" t="n"/>
      <c r="B34" s="14" t="n"/>
      <c r="C34" s="10" t="n"/>
      <c r="D34" s="10" t="n"/>
      <c r="E34" s="10" t="n"/>
      <c r="F34" s="10" t="n"/>
      <c r="G34" s="4" t="n"/>
    </row>
    <row r="35" ht="26.1" customHeight="1">
      <c r="A35" s="13" t="n"/>
      <c r="B35" s="31" t="inlineStr">
        <is>
          <t>Patrimônio Líquido (R$)</t>
        </is>
      </c>
      <c r="C35" s="31" t="n"/>
      <c r="D35" s="31" t="n"/>
      <c r="E35" s="31" t="n"/>
      <c r="F35" s="31" t="n"/>
      <c r="G35" s="4" t="n"/>
    </row>
    <row r="36" ht="15.95" customHeight="1">
      <c r="A36" s="17" t="n"/>
      <c r="B36" s="15" t="inlineStr">
        <is>
          <t>Hoje¹</t>
        </is>
      </c>
      <c r="C36" s="16" t="n"/>
      <c r="D36" s="16" t="n"/>
      <c r="E36" s="55" t="n">
        <v>946469510.37</v>
      </c>
      <c r="F36" s="34" t="n"/>
      <c r="G36" s="4" t="n"/>
    </row>
    <row r="37" ht="15.95" customHeight="1">
      <c r="A37" s="17" t="n"/>
      <c r="B37" s="18" t="inlineStr">
        <is>
          <t>Últimos 12 Meses (Média Diária)¹</t>
        </is>
      </c>
      <c r="C37" s="16" t="n"/>
      <c r="D37" s="16" t="n"/>
      <c r="E37" s="55" t="n">
        <v>1261171926.316389</v>
      </c>
      <c r="F37" s="34" t="n"/>
      <c r="G37" s="4" t="n"/>
    </row>
    <row r="38" ht="15.95" customHeight="1">
      <c r="A38" s="17" t="n"/>
      <c r="B38" s="19" t="n"/>
      <c r="C38" s="4" t="n"/>
      <c r="D38" s="4" t="n"/>
      <c r="E38" s="4" t="n"/>
      <c r="F38" s="4" t="n"/>
      <c r="G38" s="4" t="n"/>
    </row>
    <row r="39" ht="15.95" customHeight="1">
      <c r="A39" s="23" t="n"/>
      <c r="B39" s="20" t="inlineStr">
        <is>
          <t>¹Data de Referência:</t>
        </is>
      </c>
      <c r="C39" s="21" t="inlineStr">
        <is>
          <t>2025-12-17</t>
        </is>
      </c>
      <c r="D39" s="22" t="n"/>
      <c r="E39" s="22" t="n"/>
      <c r="F39" s="22" t="n"/>
      <c r="G39" s="4" t="n"/>
    </row>
    <row r="40" ht="15.95" customHeight="1">
      <c r="B40" s="21" t="inlineStr">
        <is>
          <t xml:space="preserve">²Cota Inicial em: </t>
        </is>
      </c>
      <c r="C40" s="21" t="inlineStr">
        <is>
          <t>2021-12-16</t>
        </is>
      </c>
      <c r="D40" s="24" t="n"/>
      <c r="E40" s="24" t="n"/>
      <c r="F40" s="24" t="n"/>
      <c r="G40" s="4" t="n"/>
    </row>
    <row r="41" ht="15.95" customHeight="1">
      <c r="B41" s="25" t="n"/>
      <c r="C41" s="26" t="n"/>
      <c r="D41" s="24" t="n"/>
      <c r="E41" s="24" t="n"/>
      <c r="F41" s="24" t="n"/>
      <c r="G41" s="4" t="n"/>
    </row>
    <row r="42" ht="47.25" customHeight="1">
      <c r="A42" s="4" t="n"/>
      <c r="B42" s="3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59"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mergeCells count="1">
    <mergeCell ref="B43:F43"/>
  </mergeCells>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2025-12-18T17:32:21Z</dcterms:modified>
  <cp:lastModifiedBy>Lucieli Cristina de Castilho Andrade</cp:lastModifiedBy>
  <cp:lastPrinted>2025-04-22T16:50:26Z</cp:lastPrinted>
</cp:coreProperties>
</file>
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'Email'!$B$7:$F$42</definedName>
  </definedNames>
  <calcPr calcId="191029"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i val="1"/>
      <color theme="1" tint="0.499984740745262"/>
      <sz val="7"/>
    </font>
    <font>
      <name val="Verdana"/>
      <family val="2"/>
      <color theme="1" tint="0.499984740745262"/>
      <sz val="7"/>
    </font>
    <font>
      <name val="Verdana"/>
      <family val="2"/>
      <color rgb="FF003366"/>
      <sz val="10"/>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82">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3" fontId="32" fillId="35" borderId="0" applyAlignment="1" pivotButton="0" quotePrefix="0" xfId="47">
      <alignment horizontal="centerContinuous"/>
    </xf>
    <xf numFmtId="0" fontId="35" fillId="35" borderId="0" applyAlignment="1" pivotButton="0" quotePrefix="0" xfId="0">
      <alignment horizontal="centerContinuous" vertical="center" wrapText="1"/>
    </xf>
    <xf numFmtId="0" fontId="36" fillId="7" borderId="0" pivotButton="0" quotePrefix="0" xfId="0"/>
    <xf numFmtId="166" fontId="37" fillId="7" borderId="0" applyAlignment="1" pivotButton="0" quotePrefix="0" xfId="0">
      <alignment horizontal="center"/>
    </xf>
    <xf numFmtId="169" fontId="37" fillId="7" borderId="0" applyAlignment="1" pivotButton="0" quotePrefix="0" xfId="30">
      <alignment horizontal="center"/>
    </xf>
    <xf numFmtId="10" fontId="37" fillId="7" borderId="0" applyAlignment="1" pivotButton="0" quotePrefix="0" xfId="47">
      <alignment horizontal="center"/>
    </xf>
    <xf numFmtId="9" fontId="37" fillId="7" borderId="0" applyAlignment="1" pivotButton="0" quotePrefix="0" xfId="47">
      <alignment horizontal="center"/>
    </xf>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70" fontId="37" fillId="7" borderId="0" applyAlignment="1" pivotButton="0" quotePrefix="1" xfId="0">
      <alignment horizontal="centerContinuous"/>
    </xf>
    <xf numFmtId="165" fontId="37" fillId="7" borderId="0" applyAlignment="1" pivotButton="0" quotePrefix="0" xfId="47">
      <alignment horizontal="center"/>
    </xf>
    <xf numFmtId="0" fontId="36" fillId="35" borderId="0" pivotButton="0" quotePrefix="0" xfId="0"/>
    <xf numFmtId="170" fontId="36" fillId="7" borderId="0" applyAlignment="1" pivotButton="0" quotePrefix="1" xfId="0">
      <alignment horizontal="centerContinuous"/>
    </xf>
    <xf numFmtId="165" fontId="36" fillId="7" borderId="0" pivotButton="0" quotePrefix="0" xfId="47"/>
    <xf numFmtId="9" fontId="36" fillId="7" borderId="0" pivotButton="0" quotePrefix="0" xfId="47"/>
    <xf numFmtId="15" fontId="36" fillId="35" borderId="0" pivotButton="0" quotePrefix="0" xfId="0"/>
    <xf numFmtId="15" fontId="37" fillId="35" borderId="0" pivotButton="0" quotePrefix="0" xfId="0"/>
    <xf numFmtId="165" fontId="37" fillId="7" borderId="0" pivotButton="0" quotePrefix="0" xfId="47"/>
    <xf numFmtId="0" fontId="37" fillId="7" borderId="0" pivotButton="0" quotePrefix="0" xfId="0"/>
    <xf numFmtId="3" fontId="37" fillId="35" borderId="0" applyAlignment="1" pivotButton="0" quotePrefix="0" xfId="47">
      <alignment horizontal="centerContinuous"/>
    </xf>
    <xf numFmtId="0" fontId="20" fillId="7" borderId="0" applyAlignment="1" pivotButton="0" quotePrefix="0" xfId="0">
      <alignment horizontal="justify" vertical="justify" wrapText="1"/>
    </xf>
    <xf numFmtId="0" fontId="10" fillId="7" borderId="0" pivotButton="0" quotePrefix="0" xfId="0"/>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37" fillId="7" borderId="0" applyAlignment="1" pivotButton="0" quotePrefix="0" xfId="0">
      <alignment horizontal="center"/>
    </xf>
    <xf numFmtId="169" fontId="37" fillId="7" borderId="0" applyAlignment="1" pivotButton="0" quotePrefix="0" xfId="30">
      <alignment horizontal="center"/>
    </xf>
    <xf numFmtId="166" fontId="36" fillId="7" borderId="0" applyAlignment="1" pivotButton="0" quotePrefix="0" xfId="0">
      <alignment horizontal="center"/>
    </xf>
    <xf numFmtId="169" fontId="36" fillId="7" borderId="0" applyAlignment="1" pivotButton="0" quotePrefix="0" xfId="30">
      <alignment horizontal="center"/>
    </xf>
    <xf numFmtId="164" fontId="11" fillId="7" borderId="0" applyAlignment="1" pivotButton="0" quotePrefix="0" xfId="30">
      <alignment horizontal="center"/>
    </xf>
    <xf numFmtId="170" fontId="37" fillId="7" borderId="0" applyAlignment="1" pivotButton="0" quotePrefix="1" xfId="0">
      <alignment horizontal="centerContinuous"/>
    </xf>
    <xf numFmtId="165" fontId="37" fillId="7" borderId="0" applyAlignment="1" pivotButton="0" quotePrefix="0" xfId="47">
      <alignment horizontal="center"/>
    </xf>
    <xf numFmtId="170" fontId="36" fillId="7" borderId="0" applyAlignment="1" pivotButton="0" quotePrefix="1" xfId="0">
      <alignment horizontal="centerContinuous"/>
    </xf>
    <xf numFmtId="165" fontId="36" fillId="7" borderId="0" pivotButton="0" quotePrefix="0" xfId="47"/>
    <xf numFmtId="165" fontId="37" fillId="7" borderId="0" pivotButton="0" quotePrefix="0" xfId="47"/>
    <xf numFmtId="166" fontId="14" fillId="7" borderId="0" applyAlignment="1" pivotButton="0" quotePrefix="0" xfId="0">
      <alignment horizontal="left"/>
    </xf>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166" fontId="18" fillId="7" borderId="0" pivotButton="0" quotePrefix="0" xfId="0"/>
    <xf numFmtId="166" fontId="19" fillId="7" borderId="0" applyAlignment="1" pivotButton="0" quotePrefix="0" xfId="0">
      <alignment horizontal="left"/>
    </xf>
    <xf numFmtId="167" fontId="11" fillId="7" borderId="0" pivotButton="0" quotePrefix="0" xfId="0"/>
    <xf numFmtId="168" fontId="11" fillId="7" borderId="0" pivotButton="0" quotePrefix="0" xfId="30"/>
    <xf numFmtId="165"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I23" sqref="I23"/>
    </sheetView>
  </sheetViews>
  <sheetFormatPr baseColWidth="8" defaultColWidth="9.140625" defaultRowHeight="12.75"/>
  <cols>
    <col width="13.42578125" customWidth="1" style="57" min="1" max="1"/>
    <col width="18.7109375" customWidth="1" style="57" min="2" max="6"/>
    <col width="5.42578125" customWidth="1" style="57" min="7" max="7"/>
    <col width="23.140625" bestFit="1" customWidth="1" style="57" min="8" max="8"/>
    <col width="23.42578125" bestFit="1" customWidth="1" style="57" min="9" max="9"/>
    <col width="9.140625" customWidth="1" style="57" min="10" max="12"/>
    <col width="9.140625" customWidth="1" style="57" min="13" max="16384"/>
  </cols>
  <sheetData>
    <row r="1" hidden="1">
      <c r="A1" s="1">
        <f>DataAnálise</f>
        <v/>
      </c>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8" t="inlineStr">
        <is>
          <t>CAPITÂNIA PREV ADVISORY XP SEG FIFE FIF RF CP RL</t>
        </is>
      </c>
      <c r="C13" s="59" t="n"/>
      <c r="D13" s="60" t="n"/>
      <c r="E13" s="60" t="n"/>
      <c r="F13" s="60" t="n"/>
      <c r="G13" s="4" t="n"/>
    </row>
    <row r="14" ht="15.95" customHeight="1">
      <c r="A14" s="4" t="n"/>
      <c r="B14" s="58" t="inlineStr">
        <is>
          <t>CNPJ 41.672.242/0001-09</t>
        </is>
      </c>
      <c r="C14" s="59" t="n"/>
      <c r="D14" s="60" t="n"/>
      <c r="E14" s="60" t="n"/>
      <c r="F14" s="60" t="n"/>
      <c r="G14" s="4" t="n"/>
    </row>
    <row r="15" ht="15.95" customHeight="1">
      <c r="A15" s="4" t="n"/>
      <c r="B15" s="58" t="n"/>
      <c r="C15" s="59" t="n"/>
      <c r="D15" s="60" t="n"/>
      <c r="E15" s="60" t="n"/>
      <c r="F15" s="60" t="n"/>
      <c r="G15" s="4" t="n"/>
    </row>
    <row r="16" ht="26.1" customHeight="1">
      <c r="A16" s="4" t="n"/>
      <c r="B16" s="7" t="inlineStr">
        <is>
          <t>Data</t>
        </is>
      </c>
      <c r="C16" s="30" t="inlineStr">
        <is>
          <t>Cota</t>
        </is>
      </c>
      <c r="D16" s="30" t="inlineStr">
        <is>
          <t>Retorno</t>
        </is>
      </c>
      <c r="E16" s="8" t="inlineStr">
        <is>
          <t>CDI</t>
        </is>
      </c>
      <c r="F16" s="8" t="inlineStr">
        <is>
          <t>% CDI</t>
        </is>
      </c>
      <c r="G16" s="4" t="n"/>
    </row>
    <row r="17" ht="15.95" customFormat="1" customHeight="1" s="36">
      <c r="B17" s="61" t="inlineStr">
        <is>
          <t>2025-12-24</t>
        </is>
      </c>
      <c r="C17" s="62" t="n">
        <v>1.48140362</v>
      </c>
      <c r="D17" s="39" t="n">
        <v>-0.0001486544624851316</v>
      </c>
      <c r="E17" s="39" t="n">
        <v>0.0005513106415402369</v>
      </c>
      <c r="F17" s="40" t="n">
        <v>-0.2696382969677943</v>
      </c>
    </row>
    <row r="18" ht="15.95" customFormat="1" customHeight="1" s="36">
      <c r="B18" s="63" t="inlineStr">
        <is>
          <t>2025-12-23</t>
        </is>
      </c>
      <c r="C18" s="64" t="n">
        <v>1.48162387</v>
      </c>
      <c r="D18" s="43" t="n">
        <v>-0.0001727535444556727</v>
      </c>
      <c r="E18" s="43" t="n">
        <v>0.0005513106415402369</v>
      </c>
      <c r="F18" s="44" t="n">
        <v>-0.3133506437913813</v>
      </c>
    </row>
    <row r="19" ht="15.95" customFormat="1" customHeight="1" s="36">
      <c r="B19" s="63" t="inlineStr">
        <is>
          <t>2025-12-22</t>
        </is>
      </c>
      <c r="C19" s="64" t="n">
        <v>1.48187987</v>
      </c>
      <c r="D19" s="43" t="n">
        <v>0.003208747768745912</v>
      </c>
      <c r="E19" s="43" t="n">
        <v>0.0005513106415402369</v>
      </c>
      <c r="F19" s="44" t="n">
        <v>5.820217363810353</v>
      </c>
    </row>
    <row r="20" ht="15.95" customFormat="1" customHeight="1" s="36">
      <c r="B20" s="63" t="inlineStr">
        <is>
          <t>2025-12-19</t>
        </is>
      </c>
      <c r="C20" s="64" t="n">
        <v>1.4771401</v>
      </c>
      <c r="D20" s="43" t="n">
        <v>0.001917849728190868</v>
      </c>
      <c r="E20" s="43" t="n">
        <v>0.0005513106415402369</v>
      </c>
      <c r="F20" s="44" t="n">
        <v>3.478709793870169</v>
      </c>
    </row>
    <row r="21" ht="15.95" customFormat="1" customHeight="1" s="36">
      <c r="B21" s="63" t="inlineStr">
        <is>
          <t>2025-12-18</t>
        </is>
      </c>
      <c r="C21" s="64" t="n">
        <v>1.47431259</v>
      </c>
      <c r="D21" s="43" t="n">
        <v>0.001467817441155983</v>
      </c>
      <c r="E21" s="43" t="n">
        <v>0.0005513106415402369</v>
      </c>
      <c r="F21" s="44" t="n">
        <v>2.662414491139213</v>
      </c>
    </row>
    <row r="22" ht="15.95" customHeight="1">
      <c r="A22" s="4" t="n"/>
      <c r="B22" s="65" t="n"/>
      <c r="C22" s="10" t="n"/>
      <c r="D22" s="11" t="n"/>
      <c r="E22" s="11" t="n"/>
      <c r="F22" s="11" t="n"/>
      <c r="G22" s="4" t="n"/>
    </row>
    <row r="23" ht="26.1" customHeight="1">
      <c r="A23" s="4" t="n"/>
      <c r="B23" s="32" t="inlineStr">
        <is>
          <t>Referência</t>
        </is>
      </c>
      <c r="C23" s="32" t="n"/>
      <c r="D23" s="30" t="inlineStr">
        <is>
          <t>Retorno</t>
        </is>
      </c>
      <c r="E23" s="8" t="inlineStr">
        <is>
          <t>CDI</t>
        </is>
      </c>
      <c r="F23" s="8" t="inlineStr">
        <is>
          <t>% CDI</t>
        </is>
      </c>
      <c r="G23" s="4" t="n"/>
    </row>
    <row r="24" ht="15.95" customFormat="1" customHeight="1" s="36">
      <c r="B24" s="66" t="inlineStr">
        <is>
          <t>Dec-25</t>
        </is>
      </c>
      <c r="C24" s="66" t="inlineStr"/>
      <c r="D24" s="39" t="n">
        <v>0.001400957462438068</v>
      </c>
      <c r="E24" s="39" t="n">
        <v>0.009970231909511629</v>
      </c>
      <c r="F24" s="40" t="n">
        <v>0.1405140296788434</v>
      </c>
      <c r="G24" s="67" t="n"/>
    </row>
    <row r="25" ht="15.95" customFormat="1" customHeight="1" s="36">
      <c r="A25" s="47" t="n"/>
      <c r="B25" s="68" t="inlineStr">
        <is>
          <t>Últimos 30 dias</t>
        </is>
      </c>
      <c r="C25" s="68" t="inlineStr"/>
      <c r="D25" s="43" t="n">
        <v>0.001863709469431818</v>
      </c>
      <c r="E25" s="43" t="n">
        <v>0.0116415750096508</v>
      </c>
      <c r="F25" s="44" t="n">
        <v>0.1600908354657178</v>
      </c>
      <c r="G25" s="69" t="n"/>
      <c r="H25" s="50" t="n"/>
    </row>
    <row r="26" ht="15.95" customFormat="1" customHeight="1" s="36">
      <c r="A26" s="47" t="n"/>
      <c r="B26" s="68" t="inlineStr">
        <is>
          <t>Últimos 90 dias</t>
        </is>
      </c>
      <c r="C26" s="68" t="inlineStr"/>
      <c r="D26" s="43" t="n">
        <v>0.01718176055701481</v>
      </c>
      <c r="E26" s="43" t="n">
        <v>0.03533288157429126</v>
      </c>
      <c r="F26" s="44" t="n">
        <v>0.4862824596088569</v>
      </c>
      <c r="G26" s="69" t="n"/>
    </row>
    <row r="27" ht="15.95" customFormat="1" customHeight="1" s="36">
      <c r="A27" s="51" t="n"/>
      <c r="B27" s="68" t="inlineStr">
        <is>
          <t>Últimos 180 dias</t>
        </is>
      </c>
      <c r="C27" s="68" t="inlineStr"/>
      <c r="D27" s="43" t="n">
        <v>0.04751341365791384</v>
      </c>
      <c r="E27" s="43" t="n">
        <v>0.07191417566892566</v>
      </c>
      <c r="F27" s="44" t="n">
        <v>0.660696075786968</v>
      </c>
      <c r="G27" s="69" t="n"/>
    </row>
    <row r="28" ht="15.95" customFormat="1" customHeight="1" s="36">
      <c r="A28" s="51" t="n"/>
      <c r="B28" s="68" t="inlineStr">
        <is>
          <t>Últimos 360 dias</t>
        </is>
      </c>
      <c r="C28" s="68" t="inlineStr"/>
      <c r="D28" s="43" t="n">
        <v>0.1145593499861215</v>
      </c>
      <c r="E28" s="43" t="n">
        <v>0.1426932752755039</v>
      </c>
      <c r="F28" s="44" t="n">
        <v>0.8028363618743556</v>
      </c>
      <c r="G28" s="69" t="n"/>
    </row>
    <row r="29" ht="15.95" customFormat="1" customHeight="1" s="54">
      <c r="A29" s="52" t="n"/>
      <c r="B29" s="66" t="inlineStr">
        <is>
          <t>Ano 2025</t>
        </is>
      </c>
      <c r="C29" s="66" t="inlineStr"/>
      <c r="D29" s="39" t="n">
        <v>0.1071993071074877</v>
      </c>
      <c r="E29" s="39" t="n">
        <v>0.1406153368029688</v>
      </c>
      <c r="F29" s="40" t="n">
        <v>0.7623585701586459</v>
      </c>
      <c r="G29" s="70" t="n"/>
    </row>
    <row r="30" ht="15.95" customFormat="1" customHeight="1" s="36">
      <c r="A30" s="51" t="n"/>
      <c r="B30" s="68" t="inlineStr">
        <is>
          <t>Ano 2024</t>
        </is>
      </c>
      <c r="C30" s="68" t="inlineStr"/>
      <c r="D30" s="43" t="n">
        <v>0.06718693236037376</v>
      </c>
      <c r="E30" s="43" t="n">
        <v>0.1092049264357533</v>
      </c>
      <c r="F30" s="44" t="n">
        <v>0.6152371926178689</v>
      </c>
      <c r="G30" s="69" t="n"/>
    </row>
    <row r="31" ht="15.95" customFormat="1" customHeight="1" s="36">
      <c r="A31" s="51" t="n"/>
      <c r="B31" s="68" t="inlineStr">
        <is>
          <t>Ano 2023</t>
        </is>
      </c>
      <c r="C31" s="68" t="inlineStr"/>
      <c r="D31" s="43" t="n">
        <v>0.1095975618816869</v>
      </c>
      <c r="E31" s="43" t="n">
        <v>0.1304743935848238</v>
      </c>
      <c r="F31" s="44" t="n">
        <v>0.8399928819016544</v>
      </c>
    </row>
    <row r="32" ht="15.95" customFormat="1" customHeight="1" s="54">
      <c r="A32" s="52" t="n"/>
      <c r="B32" s="66" t="inlineStr">
        <is>
          <t>Acumulado²</t>
        </is>
      </c>
      <c r="C32" s="66" t="inlineStr"/>
      <c r="D32" s="39" t="n">
        <v>0.48140362</v>
      </c>
      <c r="E32" s="39" t="n">
        <v>0.6133681592347098</v>
      </c>
      <c r="F32" s="40" t="n">
        <v>0.7848526415206164</v>
      </c>
    </row>
    <row r="33" ht="15.95" customHeight="1">
      <c r="A33" s="13" t="n"/>
      <c r="B33" s="14" t="n"/>
      <c r="C33" s="10" t="n"/>
      <c r="D33" s="10" t="n"/>
      <c r="E33" s="10" t="n"/>
      <c r="F33" s="10" t="n"/>
      <c r="G33" s="4" t="n"/>
    </row>
    <row r="34" ht="26.1" customHeight="1">
      <c r="A34" s="13" t="n"/>
      <c r="B34" s="31" t="inlineStr">
        <is>
          <t>Patrimônio Líquido (R$)</t>
        </is>
      </c>
      <c r="C34" s="31" t="n"/>
      <c r="D34" s="31" t="n"/>
      <c r="E34" s="31" t="n"/>
      <c r="F34" s="31" t="n"/>
      <c r="G34" s="4" t="n"/>
    </row>
    <row r="35" ht="15.95" customHeight="1">
      <c r="A35" s="17" t="n"/>
      <c r="B35" s="71" t="inlineStr">
        <is>
          <t>Hoje¹</t>
        </is>
      </c>
      <c r="C35" s="16" t="n"/>
      <c r="D35" s="16" t="n"/>
      <c r="E35" s="55" t="n">
        <v>938119034.38</v>
      </c>
      <c r="F35" s="34" t="n"/>
      <c r="G35" s="4" t="n"/>
    </row>
    <row r="36" ht="15.95" customHeight="1">
      <c r="A36" s="17" t="n"/>
      <c r="B36" s="72" t="inlineStr">
        <is>
          <t>Últimos 12 Meses (Média Diária)¹</t>
        </is>
      </c>
      <c r="C36" s="16" t="n"/>
      <c r="D36" s="16" t="n"/>
      <c r="E36" s="55" t="n">
        <v>1244433330.068849</v>
      </c>
      <c r="F36" s="34" t="n"/>
      <c r="G36" s="4" t="n"/>
    </row>
    <row r="37" ht="15.95" customHeight="1">
      <c r="A37" s="17" t="n"/>
      <c r="B37" s="73" t="n"/>
      <c r="C37" s="4" t="n"/>
      <c r="D37" s="4" t="n"/>
      <c r="E37" s="4" t="n"/>
      <c r="F37" s="4" t="n"/>
      <c r="G37" s="4" t="n"/>
    </row>
    <row r="38" ht="15.95" customHeight="1">
      <c r="A38" s="23" t="n"/>
      <c r="B38" s="74" t="inlineStr">
        <is>
          <t>¹Data de Referência:</t>
        </is>
      </c>
      <c r="C38" s="75" t="inlineStr">
        <is>
          <t>2025-12-24</t>
        </is>
      </c>
      <c r="D38" s="22" t="n"/>
      <c r="E38" s="22" t="n"/>
      <c r="F38" s="22" t="n"/>
      <c r="G38" s="4" t="n"/>
    </row>
    <row r="39" ht="15.95" customHeight="1">
      <c r="B39" s="75" t="inlineStr">
        <is>
          <t xml:space="preserve">²Cota Inicial em: </t>
        </is>
      </c>
      <c r="C39" s="75" t="inlineStr">
        <is>
          <t>2021-12-16</t>
        </is>
      </c>
      <c r="D39" s="76" t="n"/>
      <c r="E39" s="76" t="n"/>
      <c r="F39" s="76" t="n"/>
      <c r="G39" s="4" t="n"/>
    </row>
    <row r="40" ht="15.95" customHeight="1">
      <c r="B40" s="77" t="n"/>
      <c r="C40" s="78" t="n"/>
      <c r="D40" s="76" t="n"/>
      <c r="E40" s="76" t="n"/>
      <c r="F40" s="76" t="n"/>
      <c r="G40" s="4" t="n"/>
    </row>
    <row r="41" ht="47.25" customHeight="1">
      <c r="A41" s="4" t="n"/>
      <c r="B41" s="3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56" t="n"/>
      <c r="G42" s="4" t="n"/>
    </row>
    <row r="43">
      <c r="A43" s="4" t="n"/>
      <c r="B43" s="27" t="n"/>
      <c r="C43" s="27" t="n"/>
      <c r="D43" s="27" t="n"/>
      <c r="E43" s="27" t="n"/>
      <c r="F43" s="27" t="n"/>
      <c r="G43" s="4" t="n"/>
    </row>
    <row r="44">
      <c r="A44" s="4" t="n"/>
      <c r="B44" s="79" t="n"/>
      <c r="C44" s="80" t="n"/>
      <c r="D44" s="81" t="n"/>
      <c r="E44" s="81" t="n"/>
      <c r="F44" s="81" t="n"/>
      <c r="G44" s="4" t="n"/>
    </row>
    <row r="45">
      <c r="B45" s="79" t="n"/>
      <c r="C45" s="80" t="n"/>
      <c r="D45" s="81" t="n"/>
      <c r="E45" s="81" t="n"/>
      <c r="F45" s="81" t="n"/>
    </row>
  </sheetData>
  <mergeCells count="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2025-09-25T14:53:36Z</dcterms:modified>
  <cp:lastModifiedBy>Lucieli Cristina de Castilho Andrade</cp:lastModifiedBy>
  <cp:lastPrinted>2025-04-22T16:50:26Z</cp:lastPrinted>
</cp:coreProperties>
</file>